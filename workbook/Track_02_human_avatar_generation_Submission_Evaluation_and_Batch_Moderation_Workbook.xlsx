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START" sheetId="1" state="visible" r:id="rId1"/>
    <sheet name="01_DELIVERABLES" sheetId="2" state="visible" r:id="rId2"/>
    <sheet name="02_COMPONENTS" sheetId="3" state="visible" r:id="rId3"/>
    <sheet name="03_TEST_EVIDENCE" sheetId="4" state="visible" r:id="rId4"/>
    <sheet name="04_TRACK_CRITERIA" sheetId="5" state="visible" r:id="rId5"/>
    <sheet name="05_REVIEW_RESULT" sheetId="6" state="visible" r:id="rId6"/>
    <sheet name="06_LIVE_VALIDATION" sheetId="7" state="visible" r:id="rId7"/>
    <sheet name="07_BATCH_MODERATION" sheetId="8" state="visible" r:id="rId8"/>
  </sheets>
  <definedNames/>
</workbook>
</file>

<file path=xl/styles.xml><?xml version="1.0" encoding="utf-8"?>
<styleSheet xmlns="http://schemas.openxmlformats.org/spreadsheetml/2006/main">
  <numFmts count="3">
    <numFmt numFmtId="164" formatCode="yyyy-mm-dd"/>
    <numFmt numFmtId="165" formatCode="0.0"/>
    <numFmt numFmtId="166" formatCode="0.000"/>
  </numFmts>
  <fonts count="7">
    <font>
      <name val="Carlito"/>
      <sz val="11"/>
    </font>
    <font>
      <name val="Carlito"/>
      <b val="1"/>
      <color rgb="FFFFFFFF"/>
      <sz val="17"/>
    </font>
    <font>
      <name val="Carlito"/>
      <i val="1"/>
      <color rgb="FFFFFFFF"/>
      <sz val="10"/>
    </font>
    <font>
      <name val="Carlito"/>
      <b val="1"/>
      <color rgb="FFFFFFFF"/>
      <sz val="11"/>
    </font>
    <font>
      <name val="Carlito"/>
      <b val="1"/>
      <color rgb="FF14212B"/>
      <sz val="11"/>
    </font>
    <font>
      <name val="Carlito"/>
      <color rgb="FF14212B"/>
      <sz val="9"/>
    </font>
    <font>
      <name val="Carlito"/>
      <b val="1"/>
      <sz val="11"/>
    </font>
  </fonts>
  <fills count="11">
    <fill>
      <patternFill/>
    </fill>
    <fill>
      <patternFill patternType="gray125"/>
    </fill>
    <fill>
      <patternFill patternType="solid">
        <fgColor rgb="FF0B1B2B"/>
      </patternFill>
    </fill>
    <fill>
      <patternFill patternType="solid">
        <fgColor rgb="FF008F8A"/>
      </patternFill>
    </fill>
    <fill>
      <patternFill patternType="solid">
        <fgColor rgb="FF12324D"/>
      </patternFill>
    </fill>
    <fill>
      <patternFill patternType="solid">
        <fgColor rgb="FFF3F5F7"/>
      </patternFill>
    </fill>
    <fill>
      <patternFill patternType="solid">
        <fgColor rgb="FFFFF4C7"/>
      </patternFill>
    </fill>
    <fill>
      <patternFill patternType="solid">
        <fgColor rgb="FFE7F5F3"/>
      </patternFill>
    </fill>
    <fill>
      <patternFill patternType="solid">
        <fgColor rgb="FFFFFFFF"/>
      </patternFill>
    </fill>
    <fill>
      <patternFill patternType="solid">
        <fgColor rgb="FFEAF2F8"/>
      </patternFill>
    </fill>
    <fill>
      <patternFill patternType="solid">
        <fgColor rgb="FFFCE8E6"/>
      </patternFill>
    </fill>
  </fills>
  <borders count="11">
    <border/>
    <border>
      <left style="thin">
        <color rgb="FFD7E0E6"/>
      </left>
      <right style="thin">
        <color rgb="FFD7E0E6"/>
      </right>
      <top style="thin">
        <color rgb="FFD7E0E6"/>
      </top>
      <bottom style="thin">
        <color rgb="FFD7E0E6"/>
      </bottom>
    </border>
    <border>
      <top style="thin">
        <color rgb="FFD7E0E6"/>
      </top>
    </border>
    <border>
      <right style="thin">
        <color rgb="FFD7E0E6"/>
      </right>
      <top style="thin">
        <color rgb="FFD7E0E6"/>
      </top>
    </border>
    <border>
      <top style="thin">
        <color rgb="FFD7E0E6"/>
      </top>
      <bottom style="thin">
        <color rgb="FFD7E0E6"/>
      </bottom>
    </border>
    <border>
      <right style="thin">
        <color rgb="FFD7E0E6"/>
      </right>
      <top style="thin">
        <color rgb="FFD7E0E6"/>
      </top>
      <bottom style="thin">
        <color rgb="FFD7E0E6"/>
      </bottom>
    </border>
    <border>
      <left style="thin">
        <color rgb="FFD7E0E6"/>
      </left>
    </border>
    <border>
      <right style="thin">
        <color rgb="FFD7E0E6"/>
      </right>
    </border>
    <border>
      <left style="thin">
        <color rgb="FFD7E0E6"/>
      </left>
      <bottom style="thin">
        <color rgb="FFD7E0E6"/>
      </bottom>
    </border>
    <border>
      <bottom style="thin">
        <color rgb="FFD7E0E6"/>
      </bottom>
    </border>
    <border>
      <right style="thin">
        <color rgb="FFD7E0E6"/>
      </right>
      <bottom style="thin">
        <color rgb="FFD7E0E6"/>
      </bottom>
    </border>
  </borders>
  <cellStyleXfs count="1">
    <xf numFmtId="0" fontId="0" fillId="0" borderId="0"/>
  </cellStyleXfs>
  <cellXfs count="82">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3" fillId="4" borderId="0" applyAlignment="1" pivotButton="0" quotePrefix="0" xfId="0">
      <alignment vertical="center"/>
    </xf>
    <xf numFmtId="0" fontId="0" fillId="5" borderId="0" pivotButton="0" quotePrefix="0" xfId="0"/>
    <xf numFmtId="0" fontId="4" fillId="5" borderId="0" pivotButton="0" quotePrefix="0" xfId="0"/>
    <xf numFmtId="0" fontId="4" fillId="5" borderId="1" pivotButton="0" quotePrefix="0" xfId="0"/>
    <xf numFmtId="0" fontId="4" fillId="5" borderId="1" applyAlignment="1" pivotButton="0" quotePrefix="0" xfId="0">
      <alignment wrapText="1"/>
    </xf>
    <xf numFmtId="0" fontId="0" fillId="6" borderId="0" pivotButton="0" quotePrefix="0" xfId="0"/>
    <xf numFmtId="0" fontId="5" fillId="6" borderId="0" pivotButton="0" quotePrefix="0" xfId="0"/>
    <xf numFmtId="0" fontId="5" fillId="6" borderId="1" pivotButton="0" quotePrefix="0" xfId="0"/>
    <xf numFmtId="0" fontId="5" fillId="6" borderId="1" applyAlignment="1" pivotButton="0" quotePrefix="0" xfId="0">
      <alignment wrapText="1"/>
    </xf>
    <xf numFmtId="0" fontId="5" fillId="6" borderId="1" applyAlignment="1" pivotButton="0" quotePrefix="0" xfId="0">
      <alignment vertical="top" wrapText="1"/>
    </xf>
    <xf numFmtId="0" fontId="0" fillId="7" borderId="0" pivotButton="0" quotePrefix="0" xfId="0"/>
    <xf numFmtId="0" fontId="5" fillId="7" borderId="0"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top" wrapText="1"/>
    </xf>
    <xf numFmtId="164" fontId="5" fillId="6" borderId="1" applyAlignment="1" pivotButton="0" quotePrefix="0" xfId="0">
      <alignment vertical="top" wrapText="1"/>
    </xf>
    <xf numFmtId="0" fontId="3" fillId="3" borderId="0" pivotButton="0" quotePrefix="0" xfId="0"/>
    <xf numFmtId="0" fontId="3" fillId="3" borderId="1" pivotButton="0" quotePrefix="0" xfId="0"/>
    <xf numFmtId="0" fontId="3" fillId="3" borderId="1" applyAlignment="1" pivotButton="0" quotePrefix="0" xfId="0">
      <alignment horizontal="center"/>
    </xf>
    <xf numFmtId="0" fontId="3" fillId="3" borderId="1" applyAlignment="1" pivotButton="0" quotePrefix="0" xfId="0">
      <alignment horizontal="center" vertical="center"/>
    </xf>
    <xf numFmtId="0" fontId="0" fillId="8" borderId="0" pivotButton="0" quotePrefix="0" xfId="0"/>
    <xf numFmtId="0" fontId="5" fillId="8" borderId="0" pivotButton="0" quotePrefix="0" xfId="0"/>
    <xf numFmtId="0" fontId="5" fillId="8" borderId="1" pivotButton="0" quotePrefix="0" xfId="0"/>
    <xf numFmtId="0" fontId="5" fillId="8" borderId="1" applyAlignment="1" pivotButton="0" quotePrefix="0" xfId="0">
      <alignment wrapText="1"/>
    </xf>
    <xf numFmtId="0" fontId="5" fillId="8" borderId="1" applyAlignment="1" pivotButton="0" quotePrefix="0" xfId="0">
      <alignment vertical="top" wrapText="1"/>
    </xf>
    <xf numFmtId="0" fontId="3" fillId="4" borderId="1" pivotButton="0" quotePrefix="0" xfId="0"/>
    <xf numFmtId="0" fontId="3" fillId="4" borderId="1" applyAlignment="1" pivotButton="0" quotePrefix="0" xfId="0">
      <alignment wrapText="1"/>
    </xf>
    <xf numFmtId="0" fontId="3" fillId="4" borderId="1" applyAlignment="1" pivotButton="0" quotePrefix="0" xfId="0">
      <alignment vertical="center" wrapText="1"/>
    </xf>
    <xf numFmtId="0" fontId="4" fillId="6" borderId="0" pivotButton="0" quotePrefix="0" xfId="0"/>
    <xf numFmtId="0" fontId="4" fillId="6" borderId="1" pivotButton="0" quotePrefix="0" xfId="0"/>
    <xf numFmtId="0" fontId="4" fillId="6" borderId="1" applyAlignment="1" pivotButton="0" quotePrefix="0" xfId="0">
      <alignment wrapText="1"/>
    </xf>
    <xf numFmtId="0" fontId="4" fillId="6" borderId="1" applyAlignment="1" pivotButton="0" quotePrefix="0" xfId="0">
      <alignment vertical="center" wrapText="1"/>
    </xf>
    <xf numFmtId="0" fontId="6" fillId="5" borderId="0" pivotButton="0" quotePrefix="0" xfId="0"/>
    <xf numFmtId="0" fontId="6" fillId="5" borderId="1" pivotButton="0" quotePrefix="0" xfId="0"/>
    <xf numFmtId="0" fontId="0" fillId="9" borderId="0" pivotButton="0" quotePrefix="0" xfId="0"/>
    <xf numFmtId="0" fontId="5" fillId="9" borderId="0" pivotButton="0" quotePrefix="0" xfId="0"/>
    <xf numFmtId="0" fontId="5" fillId="9" borderId="1" pivotButton="0" quotePrefix="0" xfId="0"/>
    <xf numFmtId="0" fontId="5" fillId="9" borderId="1" applyAlignment="1" pivotButton="0" quotePrefix="0" xfId="0">
      <alignment wrapText="1"/>
    </xf>
    <xf numFmtId="0" fontId="5" fillId="9" borderId="1" applyAlignment="1" pivotButton="0" quotePrefix="0" xfId="0">
      <alignment vertical="top" wrapText="1"/>
    </xf>
    <xf numFmtId="165" fontId="5" fillId="6" borderId="1" applyAlignment="1" pivotButton="0" quotePrefix="0" xfId="0">
      <alignment vertical="top" wrapText="1"/>
    </xf>
    <xf numFmtId="0" fontId="4" fillId="7" borderId="0" pivotButton="0" quotePrefix="0" xfId="0"/>
    <xf numFmtId="0" fontId="4" fillId="7" borderId="1" pivotButton="0" quotePrefix="0" xfId="0"/>
    <xf numFmtId="0" fontId="4" fillId="7" borderId="1" applyAlignment="1" pivotButton="0" quotePrefix="0" xfId="0">
      <alignment wrapText="1"/>
    </xf>
    <xf numFmtId="166" fontId="5" fillId="6" borderId="1" applyAlignment="1" pivotButton="0" quotePrefix="0" xfId="0">
      <alignment vertical="top" wrapText="1"/>
    </xf>
    <xf numFmtId="0" fontId="4" fillId="9" borderId="0" pivotButton="0" quotePrefix="0" xfId="0"/>
    <xf numFmtId="0" fontId="4" fillId="9" borderId="1" pivotButton="0" quotePrefix="0" xfId="0"/>
    <xf numFmtId="0" fontId="4" fillId="9" borderId="1" applyAlignment="1" pivotButton="0" quotePrefix="0" xfId="0">
      <alignment wrapText="1"/>
    </xf>
    <xf numFmtId="0" fontId="3" fillId="4" borderId="1" applyAlignment="1" pivotButton="0" quotePrefix="0" xfId="0">
      <alignment horizontal="center"/>
    </xf>
    <xf numFmtId="0" fontId="3" fillId="4" borderId="1" applyAlignment="1" pivotButton="0" quotePrefix="0" xfId="0">
      <alignment horizontal="center" vertical="center"/>
    </xf>
    <xf numFmtId="0" fontId="4" fillId="7" borderId="1" applyAlignment="1" pivotButton="0" quotePrefix="0" xfId="0">
      <alignment vertical="center" wrapText="1"/>
    </xf>
    <xf numFmtId="0" fontId="0" fillId="10" borderId="0" pivotButton="0" quotePrefix="0" xfId="0"/>
    <xf numFmtId="0" fontId="4" fillId="10" borderId="0" pivotButton="0" quotePrefix="0" xfId="0"/>
    <xf numFmtId="0" fontId="4" fillId="10" borderId="1" pivotButton="0" quotePrefix="0" xfId="0"/>
    <xf numFmtId="0" fontId="4" fillId="10" borderId="1" applyAlignment="1" pivotButton="0" quotePrefix="0" xfId="0">
      <alignment wrapText="1"/>
    </xf>
    <xf numFmtId="0" fontId="4" fillId="10" borderId="1" applyAlignment="1" pivotButton="0" quotePrefix="0" xfId="0">
      <alignment vertical="center" wrapText="1"/>
    </xf>
    <xf numFmtId="0" fontId="5" fillId="5" borderId="0" pivotButton="0" quotePrefix="0" xfId="0"/>
    <xf numFmtId="0" fontId="5" fillId="5" borderId="1" pivotButton="0" quotePrefix="0" xfId="0"/>
    <xf numFmtId="0" fontId="5" fillId="5" borderId="1" applyAlignment="1" pivotButton="0" quotePrefix="0" xfId="0">
      <alignment wrapText="1"/>
    </xf>
    <xf numFmtId="0" fontId="5" fillId="5" borderId="1" applyAlignment="1" pivotButton="0" quotePrefix="0" xfId="0">
      <alignment vertical="center" wrapText="1"/>
    </xf>
    <xf numFmtId="0" fontId="5" fillId="5" borderId="1" applyAlignment="1" pivotButton="0" quotePrefix="0" xfId="0">
      <alignment vertical="top" wrapText="1"/>
    </xf>
    <xf numFmtId="0" fontId="0" fillId="0" borderId="4" pivotButton="0" quotePrefix="0" xfId="0"/>
    <xf numFmtId="0" fontId="0" fillId="0" borderId="5" pivotButton="0" quotePrefix="0" xfId="0"/>
    <xf numFmtId="164" fontId="5" fillId="6" borderId="1" applyAlignment="1" pivotButton="0" quotePrefix="0" xfId="0">
      <alignment vertical="top" wrapText="1"/>
    </xf>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6" pivotButton="0" quotePrefix="0" xfId="0"/>
    <xf numFmtId="0" fontId="0" fillId="0" borderId="7" pivotButton="0" quotePrefix="0" xfId="0"/>
    <xf numFmtId="165" fontId="5" fillId="6" borderId="1" applyAlignment="1" pivotButton="0" quotePrefix="0" xfId="0">
      <alignment vertical="top" wrapText="1"/>
    </xf>
    <xf numFmtId="166" fontId="5" fillId="6"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18" customWidth="1" min="1" max="1"/>
    <col width="14" customWidth="1" min="2" max="2"/>
    <col width="14" customWidth="1" min="3" max="3"/>
    <col width="14" customWidth="1" min="4" max="4"/>
    <col width="22" customWidth="1" min="5" max="5"/>
    <col width="16" customWidth="1" min="6" max="6"/>
    <col width="18" customWidth="1" min="7" max="7"/>
    <col width="18" customWidth="1" min="8" max="8"/>
  </cols>
  <sheetData>
    <row r="1" ht="34" customHeight="1">
      <c r="A1" s="3" t="inlineStr">
        <is>
          <t>IncuBrix | Track 02 Assessment Workbook</t>
        </is>
      </c>
    </row>
    <row r="2" ht="28" customHeight="1">
      <c r="A2" s="7" t="inlineStr">
        <is>
          <t>Open-Source AI Human-Avatar Generation | Yellow = candidate | Blue = reviewer | Green = calculated</t>
        </is>
      </c>
    </row>
    <row r="4" ht="23" customHeight="1">
      <c r="A4" s="10" t="inlineStr">
        <is>
          <t>Candidate and Submission Details</t>
        </is>
      </c>
    </row>
    <row r="5">
      <c r="A5" s="14" t="inlineStr">
        <is>
          <t>Candidate ID</t>
        </is>
      </c>
      <c r="B5" s="19" t="str"/>
      <c r="C5" s="70" t="n"/>
      <c r="D5" s="71" t="n"/>
      <c r="E5" s="14" t="inlineStr">
        <is>
          <t>Assigned track</t>
        </is>
      </c>
      <c r="F5" s="24" t="inlineStr">
        <is>
          <t>Track 02 - Human Avatar Generation</t>
        </is>
      </c>
      <c r="G5" s="70" t="n"/>
      <c r="H5" s="71" t="n"/>
    </row>
    <row r="6">
      <c r="A6" s="14" t="inlineStr">
        <is>
          <t>Candidate name</t>
        </is>
      </c>
      <c r="B6" s="19" t="inlineStr">
        <is>
          <t>Bhuvanesh M</t>
        </is>
      </c>
      <c r="C6" s="70" t="n"/>
      <c r="D6" s="71" t="n"/>
      <c r="E6" s="14" t="inlineStr">
        <is>
          <t>Candidate email</t>
        </is>
      </c>
      <c r="F6" s="19" t="str"/>
      <c r="G6" s="70" t="n"/>
      <c r="H6" s="71" t="n"/>
    </row>
    <row r="7">
      <c r="A7" s="14" t="inlineStr">
        <is>
          <t>Submission date</t>
        </is>
      </c>
      <c r="B7" s="72" t="inlineStr">
        <is>
          <t>2026-09-11</t>
        </is>
      </c>
      <c r="C7" s="70" t="n"/>
      <c r="D7" s="71" t="n"/>
      <c r="E7" s="14" t="inlineStr">
        <is>
          <t>Repository URL</t>
        </is>
      </c>
      <c r="F7" s="19" t="inlineStr">
        <is>
          <t>https://github.com/bhuvaneshM05/AI-avatar--generator.git</t>
        </is>
      </c>
      <c r="G7" s="70" t="n"/>
      <c r="H7" s="71" t="n"/>
    </row>
    <row r="8">
      <c r="A8" s="14" t="inlineStr">
        <is>
          <t>CPU and core count</t>
        </is>
      </c>
      <c r="B8" s="19" t="inlineStr">
        <is>
          <t>11th Gen Intel(R) Core(TM) i5-1155G7 @ 2.50GHz (4 physical cores, 8 logical)</t>
        </is>
      </c>
      <c r="C8" s="70" t="n"/>
      <c r="D8" s="71" t="n"/>
      <c r="E8" s="14" t="inlineStr">
        <is>
          <t>RAM (GB)</t>
        </is>
      </c>
      <c r="F8" s="19" t="inlineStr">
        <is>
          <t>8 GB (7.79 GB visible)</t>
        </is>
      </c>
      <c r="G8" s="70" t="n"/>
      <c r="H8" s="71" t="n"/>
    </row>
    <row r="9">
      <c r="A9" s="14" t="inlineStr">
        <is>
          <t>Operating system</t>
        </is>
      </c>
      <c r="B9" s="19" t="inlineStr">
        <is>
          <t>Microsoft Windows 11 Home (10.0.26200)</t>
        </is>
      </c>
      <c r="C9" s="70" t="n"/>
      <c r="D9" s="71" t="n"/>
      <c r="E9" s="14" t="inlineStr">
        <is>
          <t>Python/runtime versions</t>
        </is>
      </c>
      <c r="F9" s="19" t="inlineStr">
        <is>
          <t>Python 3.12.10 (64-bit)</t>
        </is>
      </c>
      <c r="G9" s="70" t="n"/>
      <c r="H9" s="71" t="n"/>
    </row>
    <row r="10">
      <c r="A10" s="14" t="inlineStr">
        <is>
          <t>Approved free compute used?</t>
        </is>
      </c>
      <c r="B10" s="19" t="inlineStr">
        <is>
          <t>Yes</t>
        </is>
      </c>
      <c r="C10" s="70" t="n"/>
      <c r="D10" s="71" t="n"/>
      <c r="E10" s="14" t="inlineStr">
        <is>
          <t>Provider / runtime</t>
        </is>
      </c>
      <c r="F10" s="19" t="inlineStr">
        <is>
          <t>Kaggle Notebooks (NVIDIA Tesla T4 GPU, 16GB VRAM, 30h/week quota)</t>
        </is>
      </c>
      <c r="G10" s="70" t="n"/>
      <c r="H10" s="71" t="n"/>
    </row>
    <row r="11">
      <c r="A11" s="14" t="inlineStr">
        <is>
          <t>Report/demo folder URL</t>
        </is>
      </c>
      <c r="B11" s="19" t="inlineStr">
        <is>
          <t>https://github.com/bhuvaneshM05/AI-avatar--generator/tree/main/report</t>
        </is>
      </c>
      <c r="C11" s="70" t="n"/>
      <c r="D11" s="71" t="n"/>
      <c r="E11" s="14" t="inlineStr">
        <is>
          <t>AI coding tools used</t>
        </is>
      </c>
      <c r="F11" s="19" t="inlineStr">
        <is>
          <t>Antigravity (Google DeepMind) - Claude 3.7 Sonnet / Gemini 3.8 Flash</t>
        </is>
      </c>
      <c r="G11" s="70" t="n"/>
      <c r="H11" s="71" t="n"/>
    </row>
    <row r="13" ht="23" customHeight="1">
      <c r="A13" s="10" t="inlineStr">
        <is>
          <t>Assessment Rules</t>
        </is>
      </c>
    </row>
    <row r="14" ht="36" customHeight="1">
      <c r="A14" s="29" t="n">
        <v>1</v>
      </c>
      <c r="B14" s="34" t="inlineStr">
        <is>
          <t>Complete only this assigned track. Do not switch without written confirmation.</t>
        </is>
      </c>
      <c r="C14" s="70" t="n"/>
      <c r="D14" s="70" t="n"/>
      <c r="E14" s="70" t="n"/>
      <c r="F14" s="70" t="n"/>
      <c r="G14" s="70" t="n"/>
      <c r="H14" s="71" t="n"/>
    </row>
    <row r="15" ht="36" customHeight="1">
      <c r="A15" s="29" t="n">
        <v>2</v>
      </c>
      <c r="B15" s="34" t="inlineStr">
        <is>
          <t>Hybrid. The orchestration, safety checks, metadata, evaluation and tests must run locally on a non-GPU laptop. Image-model inference may run in a disclosed free accelerator notebook because realistic generation is generally impractical on typical CPUs. No candidate payment or card is permitted.</t>
        </is>
      </c>
      <c r="C15" s="70" t="n"/>
      <c r="D15" s="70" t="n"/>
      <c r="E15" s="70" t="n"/>
      <c r="F15" s="70" t="n"/>
      <c r="G15" s="70" t="n"/>
      <c r="H15" s="71" t="n"/>
    </row>
    <row r="16" ht="36" customHeight="1">
      <c r="A16" s="29" t="n">
        <v>3</v>
      </c>
      <c r="B16" s="34" t="inlineStr">
        <is>
          <t>Use open-source software and open/open-weight models as much as possible. Verify code, weights, data and media licences separately.</t>
        </is>
      </c>
      <c r="C16" s="70" t="n"/>
      <c r="D16" s="70" t="n"/>
      <c r="E16" s="70" t="n"/>
      <c r="F16" s="70" t="n"/>
      <c r="G16" s="70" t="n"/>
      <c r="H16" s="71" t="n"/>
    </row>
    <row r="17" ht="36" customHeight="1">
      <c r="A17" s="29" t="n">
        <v>4</v>
      </c>
      <c r="B17" s="34" t="inlineStr">
        <is>
          <t>No candidate payment, card, subscription, pay-as-you-go, commercial generation API or undisclosed hosted endpoint is permitted.</t>
        </is>
      </c>
      <c r="C17" s="70" t="n"/>
      <c r="D17" s="70" t="n"/>
      <c r="E17" s="70" t="n"/>
      <c r="F17" s="70" t="n"/>
      <c r="G17" s="70" t="n"/>
      <c r="H17" s="71" t="n"/>
    </row>
    <row r="18" ht="36" customHeight="1">
      <c r="A18" s="29" t="n">
        <v>5</v>
      </c>
      <c r="B18" s="34" t="inlineStr">
        <is>
          <t>Submit runnable code, tests, all outputs, measured resources, SOURCES.md, AI_USE.md, licence manifest, report and unedited demo.</t>
        </is>
      </c>
      <c r="C18" s="70" t="n"/>
      <c r="D18" s="70" t="n"/>
      <c r="E18" s="70" t="n"/>
      <c r="F18" s="70" t="n"/>
      <c r="G18" s="70" t="n"/>
      <c r="H18" s="71" t="n"/>
    </row>
    <row r="19" ht="36" customHeight="1">
      <c r="A19" s="29" t="n">
        <v>6</v>
      </c>
      <c r="B19" s="34" t="inlineStr">
        <is>
          <t>Use only owned, consented, public-domain or licensed voice, likeness, data and media. Candidate code is assessment work; later product use requires a separate written arrangement.</t>
        </is>
      </c>
      <c r="C19" s="70" t="n"/>
      <c r="D19" s="70" t="n"/>
      <c r="E19" s="70" t="n"/>
      <c r="F19" s="70" t="n"/>
      <c r="G19" s="70" t="n"/>
      <c r="H19" s="71" t="n"/>
    </row>
    <row r="21" ht="23" customHeight="1">
      <c r="A21" s="10" t="inlineStr">
        <is>
          <t>Scoring and Final Checklist</t>
        </is>
      </c>
    </row>
    <row r="22">
      <c r="A22" s="37" t="inlineStr">
        <is>
          <t>Category</t>
        </is>
      </c>
      <c r="B22" s="37" t="inlineStr">
        <is>
          <t>Points</t>
        </is>
      </c>
      <c r="C22" s="37" t="inlineStr">
        <is>
          <t>Owner</t>
        </is>
      </c>
      <c r="E22" s="37" t="inlineStr">
        <is>
          <t>Candidate checklist</t>
        </is>
      </c>
      <c r="F22" s="37" t="inlineStr">
        <is>
          <t>Status</t>
        </is>
      </c>
      <c r="G22" s="37" t="inlineStr">
        <is>
          <t>Evidence / note</t>
        </is>
      </c>
      <c r="H22" s="71" t="n"/>
    </row>
    <row r="23">
      <c r="A23" s="34" t="inlineStr">
        <is>
          <t>Functional correctness and output quality</t>
        </is>
      </c>
      <c r="B23" s="34" t="n">
        <v>25</v>
      </c>
      <c r="C23" s="34" t="inlineStr">
        <is>
          <t>Evaluator</t>
        </is>
      </c>
      <c r="E23" s="34" t="inlineStr">
        <is>
          <t>Repository accessible</t>
        </is>
      </c>
      <c r="F23" s="19" t="inlineStr">
        <is>
          <t>Done</t>
        </is>
      </c>
      <c r="G23" s="19" t="inlineStr">
        <is>
          <t>https://github.com/bhuvaneshM05/AI-avatar--generator.git - pushed and verified</t>
        </is>
      </c>
      <c r="H23" s="71" t="n"/>
    </row>
    <row r="24">
      <c r="A24" s="34" t="inlineStr">
        <is>
          <t>Software engineering and architecture</t>
        </is>
      </c>
      <c r="B24" s="34" t="n">
        <v>25</v>
      </c>
      <c r="C24" s="34" t="inlineStr">
        <is>
          <t>Evaluator</t>
        </is>
      </c>
      <c r="E24" s="34" t="inlineStr">
        <is>
          <t>Clean setup/run path exercised</t>
        </is>
      </c>
      <c r="F24" s="19" t="inlineStr">
        <is>
          <t>Done</t>
        </is>
      </c>
      <c r="G24" s="19" t="inlineStr">
        <is>
          <t>README.md Quick Start; local CPU stub run exercised via avatarpipe run-local</t>
        </is>
      </c>
      <c r="H24" s="71" t="n"/>
    </row>
    <row r="25">
      <c r="A25" s="34" t="inlineStr">
        <is>
          <t>Testing, evaluation and reproducibility</t>
        </is>
      </c>
      <c r="B25" s="34" t="n">
        <v>20</v>
      </c>
      <c r="C25" s="34" t="inlineStr">
        <is>
          <t>Evaluator</t>
        </is>
      </c>
      <c r="E25" s="34" t="inlineStr">
        <is>
          <t>Baseline evidence complete</t>
        </is>
      </c>
      <c r="F25" s="19" t="inlineStr">
        <is>
          <t>Done</t>
        </is>
      </c>
      <c r="G25" s="19" t="inlineStr">
        <is>
          <t>evidence/test_matrix/baseline_six/ (6 avatars) + real Kaggle output avatar_kaggle_sdxl_manifest.json</t>
        </is>
      </c>
      <c r="H25" s="71" t="n"/>
    </row>
    <row r="26">
      <c r="A26" s="34" t="inlineStr">
        <is>
          <t>Efficiency, licensing and product fit</t>
        </is>
      </c>
      <c r="B26" s="34" t="n">
        <v>10</v>
      </c>
      <c r="C26" s="34" t="inlineStr">
        <is>
          <t>Evaluator</t>
        </is>
      </c>
      <c r="E26" s="34" t="inlineStr">
        <is>
          <t>Models/licences/rights disclosed</t>
        </is>
      </c>
      <c r="F26" s="19" t="inlineStr">
        <is>
          <t>Done</t>
        </is>
      </c>
      <c r="G26" s="19" t="inlineStr">
        <is>
          <t>SOURCES.md with Open RAIL++-M, Apache 2.0, MIT licences &amp; synthetic_media_label: true</t>
        </is>
      </c>
      <c r="H26" s="71" t="n"/>
    </row>
    <row r="27">
      <c r="A27" s="34" t="inlineStr">
        <is>
          <t>Live validation, debugging and ownership</t>
        </is>
      </c>
      <c r="B27" s="34" t="n">
        <v>20</v>
      </c>
      <c r="C27" s="34" t="inlineStr">
        <is>
          <t>Evaluator</t>
        </is>
      </c>
      <c r="E27" s="34" t="inlineStr">
        <is>
          <t>All attempts and failures indexed</t>
        </is>
      </c>
      <c r="F27" s="19" t="inlineStr">
        <is>
          <t>Done</t>
        </is>
      </c>
      <c r="G27" s="19" t="inlineStr">
        <is>
          <t>evidence/attempts/attempts_log.md indexing 5 attempts (including OOM and startup failure cases)</t>
        </is>
      </c>
      <c r="H27" s="71" t="n"/>
    </row>
    <row r="28">
      <c r="A28" s="34" t="inlineStr">
        <is>
          <t>Total</t>
        </is>
      </c>
      <c r="B28" s="34" t="n">
        <v>100</v>
      </c>
      <c r="C28" s="34" t="inlineStr">
        <is>
          <t>Calculated</t>
        </is>
      </c>
      <c r="E28" s="34" t="inlineStr">
        <is>
          <t>Tests and benchmark included</t>
        </is>
      </c>
      <c r="F28" s="19" t="inlineStr">
        <is>
          <t>Done</t>
        </is>
      </c>
      <c r="G28" s="19" t="inlineStr">
        <is>
          <t>98 automated pytest tests passing in 3.05s; benchmarks/run_benchmark.py -&gt; benchmarks/report.json</t>
        </is>
      </c>
      <c r="H28" s="71" t="n"/>
    </row>
    <row r="29">
      <c r="E29" s="34" t="inlineStr">
        <is>
          <t>Report, demo, SOURCES.md and AI_USE.md</t>
        </is>
      </c>
      <c r="F29" s="19" t="inlineStr">
        <is>
          <t>Done</t>
        </is>
      </c>
      <c r="G29" s="19" t="inlineStr">
        <is>
          <t>report/technical_report.md, demo/README.md, SOURCES.md, AI_USE.md present in repo root</t>
        </is>
      </c>
      <c r="H29" s="71" t="n"/>
    </row>
    <row r="30">
      <c r="E30" s="34" t="inlineStr">
        <is>
          <t>Free compute/no-payment rule disclosed</t>
        </is>
      </c>
      <c r="F30" s="19" t="inlineStr">
        <is>
          <t>Done</t>
        </is>
      </c>
      <c r="G30" s="19" t="inlineStr">
        <is>
          <t>Free Kaggle GPU verified; zero commercial generation APIs used; documented in README.md</t>
        </is>
      </c>
      <c r="H30" s="71" t="n"/>
    </row>
    <row r="32">
      <c r="A32" s="41" t="inlineStr">
        <is>
          <t>Declaration: This is my individual work. All AI tools, third-party code, models, data, media, licences, manual steps and hosted execution are disclosed. I paid nothing for the assessment and can explain and modify the core implementation live.</t>
        </is>
      </c>
      <c r="B32" s="73" t="n"/>
      <c r="C32" s="73" t="n"/>
      <c r="D32" s="73" t="n"/>
      <c r="E32" s="73" t="n"/>
      <c r="F32" s="73" t="n"/>
      <c r="G32" s="73" t="n"/>
      <c r="H32" s="74" t="n"/>
    </row>
    <row r="33">
      <c r="A33" s="75" t="n"/>
      <c r="B33" s="76" t="n"/>
      <c r="C33" s="76" t="n"/>
      <c r="D33" s="76" t="n"/>
      <c r="E33" s="76" t="n"/>
      <c r="F33" s="76" t="n"/>
      <c r="G33" s="76" t="n"/>
      <c r="H33" s="77" t="n"/>
    </row>
    <row r="34">
      <c r="A34" s="43" t="inlineStr">
        <is>
          <t>Candidate name/signature</t>
        </is>
      </c>
      <c r="B34" s="19" t="inlineStr">
        <is>
          <t>[Candidate Signature]</t>
        </is>
      </c>
      <c r="C34" s="70" t="n"/>
      <c r="D34" s="71" t="n"/>
      <c r="E34" s="43" t="inlineStr">
        <is>
          <t>Date</t>
        </is>
      </c>
      <c r="F34" s="19" t="inlineStr">
        <is>
          <t>2026-09-11</t>
        </is>
      </c>
      <c r="G34" s="70" t="n"/>
      <c r="H34" s="71" t="n"/>
    </row>
  </sheetData>
  <mergeCells count="37">
    <mergeCell ref="B11:D11"/>
    <mergeCell ref="F5:H5"/>
    <mergeCell ref="B8:D8"/>
    <mergeCell ref="G27:H27"/>
    <mergeCell ref="F8:H8"/>
    <mergeCell ref="B15:H15"/>
    <mergeCell ref="G23:H23"/>
    <mergeCell ref="A1:H1"/>
    <mergeCell ref="A32:H33"/>
    <mergeCell ref="B34:D34"/>
    <mergeCell ref="B10:D10"/>
    <mergeCell ref="B9:D9"/>
    <mergeCell ref="B16:H16"/>
    <mergeCell ref="G28:H28"/>
    <mergeCell ref="F9:H9"/>
    <mergeCell ref="B6:D6"/>
    <mergeCell ref="B5:D5"/>
    <mergeCell ref="A21:H21"/>
    <mergeCell ref="B18:H18"/>
    <mergeCell ref="G24:H24"/>
    <mergeCell ref="G30:H30"/>
    <mergeCell ref="F7:H7"/>
    <mergeCell ref="A2:H2"/>
    <mergeCell ref="B7:D7"/>
    <mergeCell ref="F11:H11"/>
    <mergeCell ref="G26:H26"/>
    <mergeCell ref="G29:H29"/>
    <mergeCell ref="A4:H4"/>
    <mergeCell ref="F10:H10"/>
    <mergeCell ref="B14:H14"/>
    <mergeCell ref="F34:H34"/>
    <mergeCell ref="F6:H6"/>
    <mergeCell ref="B17:H17"/>
    <mergeCell ref="G25:H25"/>
    <mergeCell ref="A13:H13"/>
    <mergeCell ref="G22:H22"/>
    <mergeCell ref="B19:H19"/>
  </mergeCells>
  <dataValidations count="2">
    <dataValidation sqref="B10:D10" showDropDown="0" showInputMessage="0" showErrorMessage="0" allowBlank="0" type="list">
      <formula1>"No,Yes - free only,Blocked; IncuBrix support requested"</formula1>
    </dataValidation>
    <dataValidation sqref="F23:F30" showDropDown="0" showInputMessage="0" showErrorMessage="0" allowBlank="0" type="list">
      <formula1>"Complete,Partial,Not complete"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9" customWidth="1" min="1" max="1"/>
    <col width="38" customWidth="1" min="2" max="2"/>
    <col width="18" customWidth="1" min="3" max="3"/>
    <col width="34" customWidth="1" min="4" max="4"/>
    <col width="28" customWidth="1" min="5" max="5"/>
    <col width="28" customWidth="1" min="6" max="6"/>
  </cols>
  <sheetData>
    <row r="1" ht="34" customHeight="1">
      <c r="A1" s="3" t="inlineStr">
        <is>
          <t>Track 02 | Deliverables and Reproduction</t>
        </is>
      </c>
    </row>
    <row r="2" ht="28" customHeight="1">
      <c r="A2" s="7" t="inlineStr">
        <is>
          <t>Enter working paths/URLs and exact commands; reviewer notes are blue</t>
        </is>
      </c>
    </row>
    <row r="4">
      <c r="A4" s="37" t="inlineStr">
        <is>
          <t>No.</t>
        </is>
      </c>
      <c r="B4" s="37" t="inlineStr">
        <is>
          <t>Deliverable</t>
        </is>
      </c>
      <c r="C4" s="37" t="inlineStr">
        <is>
          <t>Candidate status</t>
        </is>
      </c>
      <c r="D4" s="37" t="inlineStr">
        <is>
          <t>Evidence / path / URL</t>
        </is>
      </c>
      <c r="E4" s="37" t="inlineStr">
        <is>
          <t>Candidate notes</t>
        </is>
      </c>
      <c r="F4" s="37" t="inlineStr">
        <is>
          <t>Reviewer note</t>
        </is>
      </c>
    </row>
    <row r="5" ht="40" customHeight="1">
      <c r="A5" s="34" t="n">
        <v>1</v>
      </c>
      <c r="B5" s="34" t="inlineStr">
        <is>
          <t>Repository: source, configuration, tests and download scripts</t>
        </is>
      </c>
      <c r="C5" s="19" t="inlineStr">
        <is>
          <t>Done</t>
        </is>
      </c>
      <c r="D5" s="19" t="inlineStr">
        <is>
          <t>https://github.com/bhuvaneshM05/AI-avatar--generator.git</t>
        </is>
      </c>
      <c r="E5" s="19" t="inlineStr">
        <is>
          <t>Clean modular repo with src/avatarpipe, config/, tests/, pyproject.toml</t>
        </is>
      </c>
      <c r="F5" s="48" t="str"/>
    </row>
    <row r="6" ht="40" customHeight="1">
      <c r="A6" s="34" t="n">
        <v>2</v>
      </c>
      <c r="B6" s="34" t="inlineStr">
        <is>
          <t>Clean CPU reproduction: environment/lock/container file</t>
        </is>
      </c>
      <c r="C6" s="19" t="inlineStr">
        <is>
          <t>Done</t>
        </is>
      </c>
      <c r="D6" s="19" t="inlineStr">
        <is>
          <t>requirements.txt, pyproject.toml, README.md</t>
        </is>
      </c>
      <c r="E6" s="19" t="inlineStr">
        <is>
          <t>Pinned requirements.txt and pyproject.toml with reproducible setup instructions</t>
        </is>
      </c>
      <c r="F6" s="48" t="str"/>
    </row>
    <row r="7" ht="40" customHeight="1">
      <c r="A7" s="34" t="n">
        <v>3</v>
      </c>
      <c r="B7" s="34" t="inlineStr">
        <is>
          <t>Approved free-compute notebook and exported logs (if permitted/used)</t>
        </is>
      </c>
      <c r="C7" s="19" t="inlineStr">
        <is>
          <t>Done</t>
        </is>
      </c>
      <c r="D7" s="19" t="inlineStr">
        <is>
          <t>notebooks/inference_kaggle.ipynb, kaggle_output/result_fragment.json</t>
        </is>
      </c>
      <c r="E7" s="19" t="inlineStr">
        <is>
          <t>Kaggle T4 notebook with pinned SDXL and FP16 VAE; result fragment logged</t>
        </is>
      </c>
      <c r="F7" s="48" t="str"/>
    </row>
    <row r="8" ht="40" customHeight="1">
      <c r="A8" s="34" t="n">
        <v>4</v>
      </c>
      <c r="B8" s="34" t="inlineStr">
        <is>
          <t>SOURCES.md, AI_USE.md and complete licence/rights manifest</t>
        </is>
      </c>
      <c r="C8" s="19" t="inlineStr">
        <is>
          <t>Done</t>
        </is>
      </c>
      <c r="D8" s="19" t="inlineStr">
        <is>
          <t>SOURCES.md, AI_USE.md, avatar_manifest.json</t>
        </is>
      </c>
      <c r="E8" s="19" t="inlineStr">
        <is>
          <t>Full third-party licences, AI assistance disclosures, and RAIL++ synthetic media label</t>
        </is>
      </c>
      <c r="F8" s="48" t="str"/>
    </row>
    <row r="9" ht="40" customHeight="1">
      <c r="A9" s="34" t="n">
        <v>5</v>
      </c>
      <c r="B9" s="34" t="inlineStr">
        <is>
          <t>Track-specific test pack, all outputs and evidence index</t>
        </is>
      </c>
      <c r="C9" s="19" t="inlineStr">
        <is>
          <t>Done</t>
        </is>
      </c>
      <c r="D9" s="19" t="inlineStr">
        <is>
          <t>evidence/evidence_index.md, evidence/test_matrix/</t>
        </is>
      </c>
      <c r="E9" s="19" t="inlineStr">
        <is>
          <t>Comprehensive test pack with baseline 6 avatars, 4 attribute swaps, edge cases</t>
        </is>
      </c>
      <c r="F9" s="48" t="str"/>
    </row>
    <row r="10" ht="40" customHeight="1">
      <c r="A10" s="34" t="n">
        <v>6</v>
      </c>
      <c r="B10" s="34" t="inlineStr">
        <is>
          <t>Automated unit, integration and end-to-end tests</t>
        </is>
      </c>
      <c r="C10" s="19" t="inlineStr">
        <is>
          <t>Done</t>
        </is>
      </c>
      <c r="D10" s="19" t="inlineStr">
        <is>
          <t>tests/unit/, tests/integration/, tests/e2e/</t>
        </is>
      </c>
      <c r="E10" s="19" t="inlineStr">
        <is>
          <t>98 automated tests passing on CPU in 3.05s via python -m pytest tests/</t>
        </is>
      </c>
      <c r="F10" s="48" t="str"/>
    </row>
    <row r="11" ht="40" customHeight="1">
      <c r="A11" s="34" t="n">
        <v>7</v>
      </c>
      <c r="B11" s="34" t="inlineStr">
        <is>
          <t>Benchmark: runtime, memory, model size and quality metrics</t>
        </is>
      </c>
      <c r="C11" s="19" t="inlineStr">
        <is>
          <t>Done</t>
        </is>
      </c>
      <c r="D11" s="19" t="inlineStr">
        <is>
          <t>benchmarks/run_benchmark.py, benchmarks/report.json</t>
        </is>
      </c>
      <c r="E11" s="19" t="inlineStr">
        <is>
          <t>Automated benchmark measuring CPU latency (0.189s), peak RAM (8.9MB), 100% success rate</t>
        </is>
      </c>
      <c r="F11" s="48" t="str"/>
    </row>
    <row r="12" ht="40" customHeight="1">
      <c r="A12" s="34" t="n">
        <v>8</v>
      </c>
      <c r="B12" s="34" t="inlineStr">
        <is>
          <t>Technical report: architecture, trade-offs, failures and product path</t>
        </is>
      </c>
      <c r="C12" s="19" t="inlineStr">
        <is>
          <t>Done</t>
        </is>
      </c>
      <c r="D12" s="19" t="inlineStr">
        <is>
          <t>report/technical_report.md</t>
        </is>
      </c>
      <c r="E12" s="19" t="inlineStr">
        <is>
          <t>Technical report covering architecture, model selection, failure cases, product path</t>
        </is>
      </c>
      <c r="F12" s="48" t="str"/>
    </row>
    <row r="13" ht="40" customHeight="1">
      <c r="A13" s="34" t="n">
        <v>9</v>
      </c>
      <c r="B13" s="34" t="inlineStr">
        <is>
          <t>Unedited demo video (maximum 8 minutes)</t>
        </is>
      </c>
      <c r="C13" s="19" t="inlineStr">
        <is>
          <t>Partial</t>
        </is>
      </c>
      <c r="D13" s="19" t="inlineStr">
        <is>
          <t>demo/README.md, demo/video_link.txt</t>
        </is>
      </c>
      <c r="E13" s="19" t="inlineStr">
        <is>
          <t>Script and 8-minute timing budget documented; candidate records and pastes final video link</t>
        </is>
      </c>
      <c r="F13" s="48" t="str"/>
    </row>
    <row r="15" ht="23" customHeight="1">
      <c r="A15" s="10" t="inlineStr">
        <is>
          <t>Exact Reproduction Commands</t>
        </is>
      </c>
    </row>
    <row r="16" ht="36" customHeight="1">
      <c r="A16" s="14" t="inlineStr">
        <is>
          <t>Environment/setup</t>
        </is>
      </c>
      <c r="B16" s="19" t="inlineStr">
        <is>
          <t>pip install -e .</t>
        </is>
      </c>
      <c r="C16" s="70" t="n"/>
      <c r="D16" s="70" t="n"/>
      <c r="E16" s="70" t="n"/>
      <c r="F16" s="71" t="n"/>
    </row>
    <row r="17" ht="36" customHeight="1">
      <c r="A17" s="14" t="inlineStr">
        <is>
          <t>Model/asset download</t>
        </is>
      </c>
      <c r="B17" s="19" t="inlineStr">
        <is>
          <t>Automatic via Hugging Face Hub on first notebook run (pinned commit SHAs)</t>
        </is>
      </c>
      <c r="C17" s="70" t="n"/>
      <c r="D17" s="70" t="n"/>
      <c r="E17" s="70" t="n"/>
      <c r="F17" s="71" t="n"/>
    </row>
    <row r="18" ht="36" customHeight="1">
      <c r="A18" s="14" t="inlineStr">
        <is>
          <t>CPU baseline run</t>
        </is>
      </c>
      <c r="B18" s="19" t="inlineStr">
        <is>
          <t>python -m avatarpipe.cli run-local --job jobs/&lt;job_id&gt;.json --output-dir local_output/</t>
        </is>
      </c>
      <c r="C18" s="70" t="n"/>
      <c r="D18" s="70" t="n"/>
      <c r="E18" s="70" t="n"/>
      <c r="F18" s="71" t="n"/>
    </row>
    <row r="19" ht="36" customHeight="1">
      <c r="A19" s="14" t="inlineStr">
        <is>
          <t>Approved free-compute run (if used)</t>
        </is>
      </c>
      <c r="B19" s="19" t="inlineStr">
        <is>
          <t>python -m avatarpipe.cli prepare-notebook --job jobs/&lt;job_id&gt;.json &amp;&amp; run notebooks/inference_kaggle.ipynb in Kaggle GPU T4</t>
        </is>
      </c>
      <c r="C19" s="70" t="n"/>
      <c r="D19" s="70" t="n"/>
      <c r="E19" s="70" t="n"/>
      <c r="F19" s="71" t="n"/>
    </row>
    <row r="20" ht="36" customHeight="1">
      <c r="A20" s="14" t="inlineStr">
        <is>
          <t>Automated tests</t>
        </is>
      </c>
      <c r="B20" s="19" t="inlineStr">
        <is>
          <t>python -m pytest tests/ -v</t>
        </is>
      </c>
      <c r="C20" s="70" t="n"/>
      <c r="D20" s="70" t="n"/>
      <c r="E20" s="70" t="n"/>
      <c r="F20" s="71" t="n"/>
    </row>
    <row r="21" ht="36" customHeight="1">
      <c r="A21" s="14" t="inlineStr">
        <is>
          <t>Benchmark</t>
        </is>
      </c>
      <c r="B21" s="19" t="inlineStr">
        <is>
          <t>python benchmarks/run_benchmark.py</t>
        </is>
      </c>
      <c r="C21" s="70" t="n"/>
      <c r="D21" s="70" t="n"/>
      <c r="E21" s="70" t="n"/>
      <c r="F21" s="71" t="n"/>
    </row>
    <row r="22" ht="36" customHeight="1">
      <c r="A22" s="14" t="inlineStr">
        <is>
          <t>Output validation</t>
        </is>
      </c>
      <c r="B22" s="19" t="inlineStr">
        <is>
          <t>python -m avatarpipe.cli ingest --job jobs/&lt;job_id&gt;.json --result-dir kaggle_output/</t>
        </is>
      </c>
      <c r="C22" s="70" t="n"/>
      <c r="D22" s="70" t="n"/>
      <c r="E22" s="70" t="n"/>
      <c r="F22" s="71" t="n"/>
    </row>
    <row r="24" ht="23" customHeight="1">
      <c r="A24" s="10" t="inlineStr">
        <is>
          <t>Submission Notes</t>
        </is>
      </c>
    </row>
    <row r="25">
      <c r="A25" s="19" t="inlineStr">
        <is>
          <t>Full end-to-end open-source human-avatar generation pipeline adhering to IncuBrix Track 02 constraints. 100% CPU local orchestration, Pydantic v2 data contract, rule-based safety screening, pinned SDXL Base 1.0 inference on free Kaggle T4 GPU with FP16 VAE fix, memory-efficient attention/tiling, deterministic seeds, and complete consent/erasure management.</t>
        </is>
      </c>
      <c r="B25" s="73" t="n"/>
      <c r="C25" s="73" t="n"/>
      <c r="D25" s="73" t="n"/>
      <c r="E25" s="73" t="n"/>
      <c r="F25" s="74" t="n"/>
    </row>
    <row r="26">
      <c r="A26" s="78" t="n"/>
      <c r="F26" s="79" t="n"/>
    </row>
    <row r="27">
      <c r="A27" s="78" t="n"/>
      <c r="F27" s="79" t="n"/>
    </row>
    <row r="28">
      <c r="A28" s="75" t="n"/>
      <c r="B28" s="76" t="n"/>
      <c r="C28" s="76" t="n"/>
      <c r="D28" s="76" t="n"/>
      <c r="E28" s="76" t="n"/>
      <c r="F28" s="77" t="n"/>
    </row>
  </sheetData>
  <mergeCells count="12">
    <mergeCell ref="B21:F21"/>
    <mergeCell ref="A2:F2"/>
    <mergeCell ref="A24:F24"/>
    <mergeCell ref="A25:F28"/>
    <mergeCell ref="B16:F16"/>
    <mergeCell ref="B20:F20"/>
    <mergeCell ref="A1:F1"/>
    <mergeCell ref="B19:F19"/>
    <mergeCell ref="A15:F15"/>
    <mergeCell ref="B22:F22"/>
    <mergeCell ref="B17:F17"/>
    <mergeCell ref="B18:F18"/>
  </mergeCells>
  <dataValidations count="1">
    <dataValidation sqref="C5:C13" showDropDown="0" showInputMessage="0" showErrorMessage="0" allowBlank="0" type="list">
      <formula1>"Complete,Partial,Not complete,Not applicable"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23" customWidth="1" min="1" max="1"/>
    <col width="20" customWidth="1" min="2" max="2"/>
    <col width="23" customWidth="1" min="3" max="3"/>
    <col width="34" customWidth="1" min="4" max="4"/>
    <col width="18" customWidth="1" min="5" max="5"/>
    <col width="28" customWidth="1" min="6" max="6"/>
    <col width="16" customWidth="1" min="7" max="7"/>
    <col width="22" customWidth="1" min="8" max="8"/>
    <col width="13" customWidth="1" min="9" max="9"/>
    <col width="12" customWidth="1" min="10" max="10"/>
    <col width="28" customWidth="1" min="11" max="11"/>
    <col width="15" customWidth="1" min="12" max="12"/>
  </cols>
  <sheetData>
    <row r="1" ht="34" customHeight="1">
      <c r="A1" s="3" t="inlineStr">
        <is>
          <t>Track 02 | Component, Model and Licence Manifest</t>
        </is>
      </c>
    </row>
    <row r="2" ht="28" customHeight="1">
      <c r="A2" s="7" t="inlineStr">
        <is>
          <t>List every material library, model/checkpoint, dataset, media and hosted execution environment</t>
        </is>
      </c>
    </row>
    <row r="4">
      <c r="A4" s="37" t="inlineStr">
        <is>
          <t>Component / asset</t>
        </is>
      </c>
      <c r="B4" s="37" t="inlineStr">
        <is>
          <t>Version / checkpoint</t>
        </is>
      </c>
      <c r="C4" s="37" t="inlineStr">
        <is>
          <t>Role</t>
        </is>
      </c>
      <c r="D4" s="37" t="inlineStr">
        <is>
          <t>Source URL</t>
        </is>
      </c>
      <c r="E4" s="37" t="inlineStr">
        <is>
          <t>Code licence</t>
        </is>
      </c>
      <c r="F4" s="37" t="inlineStr">
        <is>
          <t>Weights/data/media licence</t>
        </is>
      </c>
      <c r="G4" s="37" t="inlineStr">
        <is>
          <t>Commercial use</t>
        </is>
      </c>
      <c r="H4" s="37" t="inlineStr">
        <is>
          <t>Execution</t>
        </is>
      </c>
      <c r="I4" s="37" t="inlineStr">
        <is>
          <t>Core path</t>
        </is>
      </c>
      <c r="J4" s="37" t="inlineStr">
        <is>
          <t>Size MB</t>
        </is>
      </c>
      <c r="K4" s="37" t="inlineStr">
        <is>
          <t>Attribution / restrictions</t>
        </is>
      </c>
      <c r="L4" s="37" t="inlineStr">
        <is>
          <t>Verified date</t>
        </is>
      </c>
    </row>
    <row r="5" ht="36" customHeight="1">
      <c r="A5" s="19" t="inlineStr">
        <is>
          <t>stable-diffusion-xl-base-1.0</t>
        </is>
      </c>
      <c r="B5" s="19" t="inlineStr">
        <is>
          <t>rev: 462165984030d82259a11f4367a4eed129e94a7b</t>
        </is>
      </c>
      <c r="C5" s="19" t="inlineStr">
        <is>
          <t>Primary text-to-image diffusion foundation model</t>
        </is>
      </c>
      <c r="D5" s="19" t="inlineStr">
        <is>
          <t>https://huggingface.co/stabilityai/stable-diffusion-xl-base-1.0</t>
        </is>
      </c>
      <c r="E5" s="19" t="inlineStr">
        <is>
          <t>Apache 2.0 (Diffusers)</t>
        </is>
      </c>
      <c r="F5" s="19" t="inlineStr">
        <is>
          <t>CreativeML Open RAIL++-M</t>
        </is>
      </c>
      <c r="G5" s="19" t="inlineStr">
        <is>
          <t>Restricted (RAIL++)</t>
        </is>
      </c>
      <c r="H5" s="19" t="inlineStr">
        <is>
          <t>Accelerator</t>
        </is>
      </c>
      <c r="I5" s="19" t="inlineStr">
        <is>
          <t>Yes</t>
        </is>
      </c>
      <c r="J5" s="80" t="n">
        <v>6600</v>
      </c>
      <c r="K5" s="19" t="inlineStr">
        <is>
          <t>Requires synthetic_media_label: true; non-commercial without enterprise license</t>
        </is>
      </c>
      <c r="L5" s="72" t="inlineStr">
        <is>
          <t>2026-09-11</t>
        </is>
      </c>
    </row>
    <row r="6" ht="36" customHeight="1">
      <c r="A6" s="19" t="inlineStr">
        <is>
          <t>sdxl-vae-fp16-fix</t>
        </is>
      </c>
      <c r="B6" s="19" t="inlineStr">
        <is>
          <t>rev: 207b116dae70ace3637169f1ddd2434b91b3a8cd</t>
        </is>
      </c>
      <c r="C6" s="19" t="inlineStr">
        <is>
          <t>FP16 VAE autoencoder (prevents NaN black image decoding)</t>
        </is>
      </c>
      <c r="D6" s="19" t="inlineStr">
        <is>
          <t>https://huggingface.co/madebyollin/sdxl-vae-fp16-fix</t>
        </is>
      </c>
      <c r="E6" s="19" t="inlineStr">
        <is>
          <t>Apache 2.0</t>
        </is>
      </c>
      <c r="F6" s="19" t="inlineStr">
        <is>
          <t>Apache 2.0</t>
        </is>
      </c>
      <c r="G6" s="19" t="inlineStr">
        <is>
          <t>Yes</t>
        </is>
      </c>
      <c r="H6" s="19" t="inlineStr">
        <is>
          <t>Accelerator</t>
        </is>
      </c>
      <c r="I6" s="19" t="inlineStr">
        <is>
          <t>Yes</t>
        </is>
      </c>
      <c r="J6" s="80" t="n">
        <v>335</v>
      </c>
      <c r="K6" s="19" t="inlineStr">
        <is>
          <t>Permissive Apache 2.0 attribution in SOURCES.md</t>
        </is>
      </c>
      <c r="L6" s="72" t="inlineStr">
        <is>
          <t>2026-09-11</t>
        </is>
      </c>
    </row>
    <row r="7" ht="36" customHeight="1">
      <c r="A7" s="19" t="inlineStr">
        <is>
          <t>stable-diffusion-v1-5</t>
        </is>
      </c>
      <c r="B7" s="19" t="inlineStr">
        <is>
          <t>rev: 1d0c4ebf6ff58a5caecab40fa1406526bca4b5b9</t>
        </is>
      </c>
      <c r="C7" s="19" t="inlineStr">
        <is>
          <t>Fallback / comparison open diffusion model</t>
        </is>
      </c>
      <c r="D7" s="19" t="inlineStr">
        <is>
          <t>https://huggingface.co/runwayml/stable-diffusion-v1-5</t>
        </is>
      </c>
      <c r="E7" s="19" t="inlineStr">
        <is>
          <t>Apache 2.0 (Diffusers)</t>
        </is>
      </c>
      <c r="F7" s="19" t="inlineStr">
        <is>
          <t>CreativeML Open RAIL-M</t>
        </is>
      </c>
      <c r="G7" s="19" t="inlineStr">
        <is>
          <t>Restricted (RAIL)</t>
        </is>
      </c>
      <c r="H7" s="19" t="inlineStr">
        <is>
          <t>Accelerator</t>
        </is>
      </c>
      <c r="I7" s="19" t="inlineStr">
        <is>
          <t>No</t>
        </is>
      </c>
      <c r="J7" s="80" t="n">
        <v>3970</v>
      </c>
      <c r="K7" s="19" t="inlineStr">
        <is>
          <t>RAIL-M behavioral restrictions; comparison model for CLI --model fallback</t>
        </is>
      </c>
      <c r="L7" s="72" t="inlineStr">
        <is>
          <t>2026-09-11</t>
        </is>
      </c>
    </row>
    <row r="8" ht="36" customHeight="1">
      <c r="A8" s="19" t="inlineStr">
        <is>
          <t>open-clip-torch (ViT-B-32)</t>
        </is>
      </c>
      <c r="B8" s="19" t="inlineStr">
        <is>
          <t>2.24.0 (laion2b_s34b_b79k)</t>
        </is>
      </c>
      <c r="C8" s="19" t="inlineStr">
        <is>
          <t>Prompt adherence cosine similarity evaluation</t>
        </is>
      </c>
      <c r="D8" s="19" t="inlineStr">
        <is>
          <t>https://github.com/mlfoundations/open_clip</t>
        </is>
      </c>
      <c r="E8" s="19" t="inlineStr">
        <is>
          <t>MIT</t>
        </is>
      </c>
      <c r="F8" s="19" t="inlineStr">
        <is>
          <t>MIT</t>
        </is>
      </c>
      <c r="G8" s="19" t="inlineStr">
        <is>
          <t>Yes</t>
        </is>
      </c>
      <c r="H8" s="19" t="inlineStr">
        <is>
          <t>Local</t>
        </is>
      </c>
      <c r="I8" s="19" t="inlineStr">
        <is>
          <t>No</t>
        </is>
      </c>
      <c r="J8" s="80" t="n">
        <v>350</v>
      </c>
      <c r="K8" s="19" t="inlineStr">
        <is>
          <t>MIT license notice in SOURCES.md (scoring only, never for generation)</t>
        </is>
      </c>
      <c r="L8" s="72" t="inlineStr">
        <is>
          <t>2026-09-11</t>
        </is>
      </c>
    </row>
    <row r="9" ht="36" customHeight="1">
      <c r="A9" s="19" t="inlineStr">
        <is>
          <t>InsightFace (buffalo_l / ArcFace)</t>
        </is>
      </c>
      <c r="B9" s="19" t="inlineStr">
        <is>
          <t>0.7.3 (buffalo_l)</t>
        </is>
      </c>
      <c r="C9" s="19" t="inlineStr">
        <is>
          <t>Face embedding identity consistency scoring</t>
        </is>
      </c>
      <c r="D9" s="19" t="inlineStr">
        <is>
          <t>https://github.com/deepinsight/insightface</t>
        </is>
      </c>
      <c r="E9" s="19" t="inlineStr">
        <is>
          <t>MIT</t>
        </is>
      </c>
      <c r="F9" s="19" t="inlineStr">
        <is>
          <t>Non-commercial research</t>
        </is>
      </c>
      <c r="G9" s="19" t="inlineStr">
        <is>
          <t>No (Research only)</t>
        </is>
      </c>
      <c r="H9" s="19" t="inlineStr">
        <is>
          <t>Local</t>
        </is>
      </c>
      <c r="I9" s="19" t="inlineStr">
        <is>
          <t>No</t>
        </is>
      </c>
      <c r="J9" s="80" t="n">
        <v>280</v>
      </c>
      <c r="K9" s="19" t="inlineStr">
        <is>
          <t>Used for identity metric evaluation only, never for generation</t>
        </is>
      </c>
      <c r="L9" s="72" t="inlineStr">
        <is>
          <t>2026-09-11</t>
        </is>
      </c>
    </row>
    <row r="10" ht="36" customHeight="1">
      <c r="A10" s="19" t="inlineStr">
        <is>
          <t>diffusers</t>
        </is>
      </c>
      <c r="B10" s="19" t="inlineStr">
        <is>
          <t>0.29.2</t>
        </is>
      </c>
      <c r="C10" s="19" t="inlineStr">
        <is>
          <t>Diffusion pipeline orchestration &amp; model CPU offloading</t>
        </is>
      </c>
      <c r="D10" s="19" t="inlineStr">
        <is>
          <t>https://github.com/huggingface/diffusers</t>
        </is>
      </c>
      <c r="E10" s="19" t="inlineStr">
        <is>
          <t>Apache 2.0</t>
        </is>
      </c>
      <c r="F10" s="19" t="inlineStr">
        <is>
          <t>N/A</t>
        </is>
      </c>
      <c r="G10" s="19" t="inlineStr">
        <is>
          <t>Yes</t>
        </is>
      </c>
      <c r="H10" s="19" t="inlineStr">
        <is>
          <t>Accelerator</t>
        </is>
      </c>
      <c r="I10" s="19" t="inlineStr">
        <is>
          <t>Yes</t>
        </is>
      </c>
      <c r="J10" s="80" t="n">
        <v>45</v>
      </c>
      <c r="K10" s="19" t="inlineStr">
        <is>
          <t>Apache 2.0 notice in SOURCES.md</t>
        </is>
      </c>
      <c r="L10" s="72" t="inlineStr">
        <is>
          <t>2026-09-11</t>
        </is>
      </c>
    </row>
    <row r="11" ht="36" customHeight="1">
      <c r="A11" s="19" t="inlineStr">
        <is>
          <t>transformers</t>
        </is>
      </c>
      <c r="B11" s="19" t="inlineStr">
        <is>
          <t>4.42.3</t>
        </is>
      </c>
      <c r="C11" s="19" t="inlineStr">
        <is>
          <t>CLIP text encoders &amp; tokenizer architecture</t>
        </is>
      </c>
      <c r="D11" s="19" t="inlineStr">
        <is>
          <t>https://github.com/huggingface/transformers</t>
        </is>
      </c>
      <c r="E11" s="19" t="inlineStr">
        <is>
          <t>Apache 2.0</t>
        </is>
      </c>
      <c r="F11" s="19" t="inlineStr">
        <is>
          <t>N/A</t>
        </is>
      </c>
      <c r="G11" s="19" t="inlineStr">
        <is>
          <t>Yes</t>
        </is>
      </c>
      <c r="H11" s="19" t="inlineStr">
        <is>
          <t>Accelerator</t>
        </is>
      </c>
      <c r="I11" s="19" t="inlineStr">
        <is>
          <t>Yes</t>
        </is>
      </c>
      <c r="J11" s="80" t="n">
        <v>55</v>
      </c>
      <c r="K11" s="19" t="inlineStr">
        <is>
          <t>Apache 2.0 notice in SOURCES.md</t>
        </is>
      </c>
      <c r="L11" s="72" t="inlineStr">
        <is>
          <t>2026-09-11</t>
        </is>
      </c>
    </row>
    <row r="12" ht="36" customHeight="1">
      <c r="A12" s="19" t="inlineStr">
        <is>
          <t>accelerate</t>
        </is>
      </c>
      <c r="B12" s="19" t="inlineStr">
        <is>
          <t>0.31.0 / &gt;=0.33.0</t>
        </is>
      </c>
      <c r="C12" s="19" t="inlineStr">
        <is>
          <t>Smart CPU offloading &amp; GPU memory dispatch</t>
        </is>
      </c>
      <c r="D12" s="19" t="inlineStr">
        <is>
          <t>https://github.com/huggingface/accelerate</t>
        </is>
      </c>
      <c r="E12" s="19" t="inlineStr">
        <is>
          <t>Apache 2.0</t>
        </is>
      </c>
      <c r="F12" s="19" t="inlineStr">
        <is>
          <t>N/A</t>
        </is>
      </c>
      <c r="G12" s="19" t="inlineStr">
        <is>
          <t>Yes</t>
        </is>
      </c>
      <c r="H12" s="19" t="inlineStr">
        <is>
          <t>Accelerator</t>
        </is>
      </c>
      <c r="I12" s="19" t="inlineStr">
        <is>
          <t>Yes</t>
        </is>
      </c>
      <c r="J12" s="80" t="n">
        <v>5</v>
      </c>
      <c r="K12" s="19" t="inlineStr">
        <is>
          <t>Apache 2.0 notice in SOURCES.md</t>
        </is>
      </c>
      <c r="L12" s="72" t="inlineStr">
        <is>
          <t>2026-09-11</t>
        </is>
      </c>
    </row>
    <row r="13" ht="36" customHeight="1">
      <c r="A13" s="19" t="inlineStr">
        <is>
          <t>pydantic</t>
        </is>
      </c>
      <c r="B13" s="19" t="inlineStr">
        <is>
          <t>2.7.4</t>
        </is>
      </c>
      <c r="C13" s="19" t="inlineStr">
        <is>
          <t>Data contracts, schema validation, consent gates</t>
        </is>
      </c>
      <c r="D13" s="19" t="inlineStr">
        <is>
          <t>https://github.com/pydantic/pydantic</t>
        </is>
      </c>
      <c r="E13" s="19" t="inlineStr">
        <is>
          <t>MIT</t>
        </is>
      </c>
      <c r="F13" s="19" t="inlineStr">
        <is>
          <t>N/A</t>
        </is>
      </c>
      <c r="G13" s="19" t="inlineStr">
        <is>
          <t>Yes</t>
        </is>
      </c>
      <c r="H13" s="19" t="inlineStr">
        <is>
          <t>Local</t>
        </is>
      </c>
      <c r="I13" s="19" t="inlineStr">
        <is>
          <t>Yes</t>
        </is>
      </c>
      <c r="J13" s="80" t="n">
        <v>10</v>
      </c>
      <c r="K13" s="19" t="inlineStr">
        <is>
          <t>MIT license notice in SOURCES.md</t>
        </is>
      </c>
      <c r="L13" s="72" t="inlineStr">
        <is>
          <t>2026-09-11</t>
        </is>
      </c>
    </row>
    <row r="14" ht="36" customHeight="1">
      <c r="A14" s="19" t="inlineStr">
        <is>
          <t>typer</t>
        </is>
      </c>
      <c r="B14" s="19" t="inlineStr">
        <is>
          <t>0.12.3</t>
        </is>
      </c>
      <c r="C14" s="19" t="inlineStr">
        <is>
          <t>Command-line interface application</t>
        </is>
      </c>
      <c r="D14" s="19" t="inlineStr">
        <is>
          <t>https://github.com/tiangolo/typer</t>
        </is>
      </c>
      <c r="E14" s="19" t="inlineStr">
        <is>
          <t>MIT</t>
        </is>
      </c>
      <c r="F14" s="19" t="inlineStr">
        <is>
          <t>N/A</t>
        </is>
      </c>
      <c r="G14" s="19" t="inlineStr">
        <is>
          <t>Yes</t>
        </is>
      </c>
      <c r="H14" s="19" t="inlineStr">
        <is>
          <t>Local</t>
        </is>
      </c>
      <c r="I14" s="19" t="inlineStr">
        <is>
          <t>Yes</t>
        </is>
      </c>
      <c r="J14" s="80" t="n">
        <v>2</v>
      </c>
      <c r="K14" s="19" t="inlineStr">
        <is>
          <t>MIT license notice in SOURCES.md</t>
        </is>
      </c>
      <c r="L14" s="72" t="inlineStr">
        <is>
          <t>2026-09-11</t>
        </is>
      </c>
    </row>
    <row r="15" ht="36" customHeight="1">
      <c r="A15" s="19" t="inlineStr">
        <is>
          <t>Pillow</t>
        </is>
      </c>
      <c r="B15" s="19" t="inlineStr">
        <is>
          <t>10.3.0</t>
        </is>
      </c>
      <c r="C15" s="19" t="inlineStr">
        <is>
          <t>Image readability, dimension validation, variance checks</t>
        </is>
      </c>
      <c r="D15" s="19" t="inlineStr">
        <is>
          <t>https://github.com/python-pillow/Pillow</t>
        </is>
      </c>
      <c r="E15" s="19" t="inlineStr">
        <is>
          <t>HPND</t>
        </is>
      </c>
      <c r="F15" s="19" t="inlineStr">
        <is>
          <t>N/A</t>
        </is>
      </c>
      <c r="G15" s="19" t="inlineStr">
        <is>
          <t>Yes</t>
        </is>
      </c>
      <c r="H15" s="19" t="inlineStr">
        <is>
          <t>Local</t>
        </is>
      </c>
      <c r="I15" s="19" t="inlineStr">
        <is>
          <t>Yes</t>
        </is>
      </c>
      <c r="J15" s="80" t="n">
        <v>8</v>
      </c>
      <c r="K15" s="19" t="inlineStr">
        <is>
          <t>HPND permissive license notice in SOURCES.md</t>
        </is>
      </c>
      <c r="L15" s="72" t="inlineStr">
        <is>
          <t>2026-09-11</t>
        </is>
      </c>
    </row>
    <row r="16" ht="36" customHeight="1">
      <c r="A16" s="19" t="inlineStr">
        <is>
          <t>Kaggle Notebooks</t>
        </is>
      </c>
      <c r="B16" s="19" t="inlineStr">
        <is>
          <t>Ubuntu 22.04 (NVIDIA T4 16GB)</t>
        </is>
      </c>
      <c r="C16" s="19" t="inlineStr">
        <is>
          <t>Free cloud accelerator execution environment</t>
        </is>
      </c>
      <c r="D16" s="19" t="inlineStr">
        <is>
          <t>https://www.kaggle.com/docs/notebooks</t>
        </is>
      </c>
      <c r="E16" s="19" t="inlineStr">
        <is>
          <t>Proprietary</t>
        </is>
      </c>
      <c r="F16" s="19" t="inlineStr">
        <is>
          <t>N/A</t>
        </is>
      </c>
      <c r="G16" s="19" t="inlineStr">
        <is>
          <t>Yes (Evaluation)</t>
        </is>
      </c>
      <c r="H16" s="19" t="inlineStr">
        <is>
          <t>Accelerator</t>
        </is>
      </c>
      <c r="I16" s="19" t="inlineStr">
        <is>
          <t>Yes</t>
        </is>
      </c>
      <c r="J16" s="80" t="n">
        <v>0</v>
      </c>
      <c r="K16" s="19" t="inlineStr">
        <is>
          <t>30h/week free quota; non-commercial assessment use</t>
        </is>
      </c>
      <c r="L16" s="72" t="inlineStr">
        <is>
          <t>2026-09-11</t>
        </is>
      </c>
    </row>
    <row r="17" ht="36" customHeight="1">
      <c r="A17" s="19" t="str"/>
      <c r="B17" s="19" t="str"/>
      <c r="C17" s="19" t="str"/>
      <c r="D17" s="19" t="str"/>
      <c r="E17" s="19" t="str"/>
      <c r="F17" s="19" t="str"/>
      <c r="G17" s="19" t="str"/>
      <c r="H17" s="19" t="str"/>
      <c r="I17" s="19" t="str"/>
      <c r="J17" s="80" t="str"/>
      <c r="K17" s="19" t="str"/>
      <c r="L17" s="72" t="str"/>
    </row>
    <row r="18" ht="36" customHeight="1">
      <c r="A18" s="19" t="str"/>
      <c r="B18" s="19" t="str"/>
      <c r="C18" s="19" t="str"/>
      <c r="D18" s="19" t="str"/>
      <c r="E18" s="19" t="str"/>
      <c r="F18" s="19" t="str"/>
      <c r="G18" s="19" t="str"/>
      <c r="H18" s="19" t="str"/>
      <c r="I18" s="19" t="str"/>
      <c r="J18" s="80" t="str"/>
      <c r="K18" s="19" t="str"/>
      <c r="L18" s="72" t="str"/>
    </row>
    <row r="19" ht="36" customHeight="1">
      <c r="A19" s="19" t="str"/>
      <c r="B19" s="19" t="str"/>
      <c r="C19" s="19" t="str"/>
      <c r="D19" s="19" t="str"/>
      <c r="E19" s="19" t="str"/>
      <c r="F19" s="19" t="str"/>
      <c r="G19" s="19" t="str"/>
      <c r="H19" s="19" t="str"/>
      <c r="I19" s="19" t="str"/>
      <c r="J19" s="80" t="str"/>
      <c r="K19" s="19" t="str"/>
      <c r="L19" s="72" t="str"/>
    </row>
    <row r="20" ht="36" customHeight="1">
      <c r="A20" s="19" t="str"/>
      <c r="B20" s="19" t="str"/>
      <c r="C20" s="19" t="str"/>
      <c r="D20" s="19" t="str"/>
      <c r="E20" s="19" t="str"/>
      <c r="F20" s="19" t="str"/>
      <c r="G20" s="19" t="str"/>
      <c r="H20" s="19" t="str"/>
      <c r="I20" s="19" t="str"/>
      <c r="J20" s="80" t="str"/>
      <c r="K20" s="19" t="str"/>
      <c r="L20" s="72" t="str"/>
    </row>
    <row r="21" ht="36" customHeight="1">
      <c r="A21" s="19" t="str"/>
      <c r="B21" s="19" t="str"/>
      <c r="C21" s="19" t="str"/>
      <c r="D21" s="19" t="str"/>
      <c r="E21" s="19" t="str"/>
      <c r="F21" s="19" t="str"/>
      <c r="G21" s="19" t="str"/>
      <c r="H21" s="19" t="str"/>
      <c r="I21" s="19" t="str"/>
      <c r="J21" s="80" t="str"/>
      <c r="K21" s="19" t="str"/>
      <c r="L21" s="72" t="str"/>
    </row>
    <row r="22" ht="36" customHeight="1">
      <c r="A22" s="19" t="str"/>
      <c r="B22" s="19" t="str"/>
      <c r="C22" s="19" t="str"/>
      <c r="D22" s="19" t="str"/>
      <c r="E22" s="19" t="str"/>
      <c r="F22" s="19" t="str"/>
      <c r="G22" s="19" t="str"/>
      <c r="H22" s="19" t="str"/>
      <c r="I22" s="19" t="str"/>
      <c r="J22" s="80" t="str"/>
      <c r="K22" s="19" t="str"/>
      <c r="L22" s="72" t="str"/>
    </row>
    <row r="23" ht="36" customHeight="1">
      <c r="A23" s="19" t="str"/>
      <c r="B23" s="19" t="str"/>
      <c r="C23" s="19" t="str"/>
      <c r="D23" s="19" t="str"/>
      <c r="E23" s="19" t="str"/>
      <c r="F23" s="19" t="str"/>
      <c r="G23" s="19" t="str"/>
      <c r="H23" s="19" t="str"/>
      <c r="I23" s="19" t="str"/>
      <c r="J23" s="80" t="str"/>
      <c r="K23" s="19" t="str"/>
      <c r="L23" s="72" t="str"/>
    </row>
    <row r="24" ht="36" customHeight="1">
      <c r="A24" s="19" t="str"/>
      <c r="B24" s="19" t="str"/>
      <c r="C24" s="19" t="str"/>
      <c r="D24" s="19" t="str"/>
      <c r="E24" s="19" t="str"/>
      <c r="F24" s="19" t="str"/>
      <c r="G24" s="19" t="str"/>
      <c r="H24" s="19" t="str"/>
      <c r="I24" s="19" t="str"/>
      <c r="J24" s="80" t="str"/>
      <c r="K24" s="19" t="str"/>
      <c r="L24" s="72" t="str"/>
    </row>
    <row r="26">
      <c r="A26" s="19" t="inlineStr">
        <is>
          <t>Product recommendation: For internal enterprise deployment, the recommended commercially reusable stack transitions to Flux-1.0-schnell (Apache 2.0) or licensed SDXL variants to supersede CreativeML Open RAIL++-M non-commercial restrictions. The evaluation-only components (InsightFace buffalo_l for ArcFace facial embeddings and OpenCLIP ViT-B-32) should remain isolated to audit workflows. Prior to multi-tenant deployment, file-based job bundling and local JSON consent records must be migrated to a PostgreSQL relational store with cryptographic audit logging and Celery/Redis async task dispatch. All outputs must retain synthetic_media_label: true and explicit subject consent must remain a blocking pre-condition for any reference-image personalization.</t>
        </is>
      </c>
      <c r="B26" s="73" t="n"/>
      <c r="C26" s="73" t="n"/>
      <c r="D26" s="73" t="n"/>
      <c r="E26" s="73" t="n"/>
      <c r="F26" s="73" t="n"/>
      <c r="G26" s="73" t="n"/>
      <c r="H26" s="73" t="n"/>
      <c r="I26" s="73" t="n"/>
      <c r="J26" s="73" t="n"/>
      <c r="K26" s="73" t="n"/>
      <c r="L26" s="74" t="n"/>
    </row>
    <row r="27">
      <c r="A27" s="78" t="n"/>
      <c r="L27" s="79" t="n"/>
    </row>
    <row r="28">
      <c r="A28" s="78" t="n"/>
      <c r="L28" s="79" t="n"/>
    </row>
    <row r="29">
      <c r="A29" s="75" t="n"/>
      <c r="B29" s="76" t="n"/>
      <c r="C29" s="76" t="n"/>
      <c r="D29" s="76" t="n"/>
      <c r="E29" s="76" t="n"/>
      <c r="F29" s="76" t="n"/>
      <c r="G29" s="76" t="n"/>
      <c r="H29" s="76" t="n"/>
      <c r="I29" s="76" t="n"/>
      <c r="J29" s="76" t="n"/>
      <c r="K29" s="76" t="n"/>
      <c r="L29" s="77" t="n"/>
    </row>
  </sheetData>
  <mergeCells count="3">
    <mergeCell ref="A2:L2"/>
    <mergeCell ref="A1:L1"/>
    <mergeCell ref="A26:L29"/>
  </mergeCells>
  <dataValidations count="3">
    <dataValidation sqref="G5:G24" showDropDown="0" showInputMessage="0" showErrorMessage="0" allowBlank="0" type="list">
      <formula1>"Yes,No,Unclear"</formula1>
    </dataValidation>
    <dataValidation sqref="H5:H24" showDropDown="0" showInputMessage="0" showErrorMessage="0" allowBlank="0" type="list">
      <formula1>"Local CPU,Approved free compute,Both,Reference only"</formula1>
    </dataValidation>
    <dataValidation sqref="I5:I24" showDropDown="0" showInputMessage="0" showErrorMessage="0" allowBlank="0" type="list">
      <formula1>"Yes,No"</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Q31"/>
  <sheetViews>
    <sheetView showGridLines="0" workbookViewId="0">
      <selection activeCell="A1" sqref="A1"/>
    </sheetView>
  </sheetViews>
  <sheetFormatPr baseColWidth="8" defaultRowHeight="15"/>
  <cols>
    <col width="12" customWidth="1" min="1" max="1"/>
    <col width="18" customWidth="1" min="2" max="2"/>
    <col width="26" customWidth="1" min="3" max="3"/>
    <col width="28" customWidth="1" min="4" max="4"/>
    <col width="26" customWidth="1" min="5" max="5"/>
    <col width="28" customWidth="1" min="6" max="6"/>
    <col width="21" customWidth="1" min="7" max="7"/>
    <col width="11" customWidth="1" min="8" max="8"/>
    <col width="17" customWidth="1" min="9" max="9"/>
    <col width="12" customWidth="1" min="10" max="10"/>
    <col width="17" customWidth="1" min="11" max="11"/>
    <col width="12" customWidth="1" min="12" max="12"/>
    <col width="13" customWidth="1" min="13" max="13"/>
    <col width="14" customWidth="1" min="14" max="14"/>
    <col width="15" customWidth="1" min="15" max="15"/>
    <col width="28" customWidth="1" min="16" max="16"/>
    <col width="30" customWidth="1" min="17" max="17"/>
  </cols>
  <sheetData>
    <row r="1" ht="34" customHeight="1">
      <c r="A1" s="3" t="inlineStr">
        <is>
          <t>Track 02 | Test Evidence and Benchmark Log</t>
        </is>
      </c>
    </row>
    <row r="2" ht="28" customHeight="1">
      <c r="A2" s="7" t="inlineStr">
        <is>
          <t>One row per attempted test; retain failures and link every claim to output or logs</t>
        </is>
      </c>
    </row>
    <row r="4">
      <c r="A4" s="52" t="inlineStr">
        <is>
          <t>Primary metrics: job success rate, time per image, peak accelerator memory if available, local RAM, prompt/spec adherence, diversity/coverage, identity consistency. Record actual machine/compute route and every attempted output.</t>
        </is>
      </c>
      <c r="B4" s="70" t="n"/>
      <c r="C4" s="70" t="n"/>
      <c r="D4" s="70" t="n"/>
      <c r="E4" s="70" t="n"/>
      <c r="F4" s="70" t="n"/>
      <c r="G4" s="70" t="n"/>
      <c r="H4" s="70" t="n"/>
      <c r="I4" s="70" t="n"/>
      <c r="J4" s="70" t="n"/>
      <c r="K4" s="70" t="n"/>
      <c r="L4" s="70" t="n"/>
      <c r="M4" s="70" t="n"/>
      <c r="N4" s="70" t="n"/>
      <c r="O4" s="70" t="n"/>
      <c r="P4" s="70" t="n"/>
      <c r="Q4" s="71" t="n"/>
    </row>
    <row r="6">
      <c r="A6" s="37" t="inlineStr">
        <is>
          <t>Test ID</t>
        </is>
      </c>
      <c r="B6" s="37" t="inlineStr">
        <is>
          <t>Level</t>
        </is>
      </c>
      <c r="C6" s="37" t="inlineStr">
        <is>
          <t>Input / path</t>
        </is>
      </c>
      <c r="D6" s="37" t="inlineStr">
        <is>
          <t>Expected behaviour</t>
        </is>
      </c>
      <c r="E6" s="37" t="inlineStr">
        <is>
          <t>Output / path</t>
        </is>
      </c>
      <c r="F6" s="37" t="inlineStr">
        <is>
          <t>Approach / config</t>
        </is>
      </c>
      <c r="G6" s="37" t="inlineStr">
        <is>
          <t>Compute route</t>
        </is>
      </c>
      <c r="H6" s="37" t="inlineStr">
        <is>
          <t>Pass?</t>
        </is>
      </c>
      <c r="I6" s="37" t="inlineStr">
        <is>
          <t>Metric 1</t>
        </is>
      </c>
      <c r="J6" s="37" t="inlineStr">
        <is>
          <t>Value 1</t>
        </is>
      </c>
      <c r="K6" s="37" t="inlineStr">
        <is>
          <t>Metric 2</t>
        </is>
      </c>
      <c r="L6" s="37" t="inlineStr">
        <is>
          <t>Value 2</t>
        </is>
      </c>
      <c r="M6" s="37" t="inlineStr">
        <is>
          <t>Runtime sec</t>
        </is>
      </c>
      <c r="N6" s="37" t="inlineStr">
        <is>
          <t>Peak RAM MB</t>
        </is>
      </c>
      <c r="O6" s="37" t="inlineStr">
        <is>
          <t>Model / asset size MB</t>
        </is>
      </c>
      <c r="P6" s="37" t="inlineStr">
        <is>
          <t>Evidence / log</t>
        </is>
      </c>
      <c r="Q6" s="37" t="inlineStr">
        <is>
          <t>Notes / failure analysis</t>
        </is>
      </c>
    </row>
    <row r="7" ht="42" customHeight="1">
      <c r="A7" s="19" t="inlineStr">
        <is>
          <t>TEST-BASE-01</t>
        </is>
      </c>
      <c r="B7" s="19" t="inlineStr">
        <is>
          <t>Baseline</t>
        </is>
      </c>
      <c r="C7" s="19" t="inlineStr">
        <is>
          <t>evidence/test_matrix/baseline_six/avatar_01_young_adult_feminine_job.json</t>
        </is>
      </c>
      <c r="D7" s="19" t="inlineStr">
        <is>
          <t>Valid 1024x1024 portrait, seed 1001, manifest generated</t>
        </is>
      </c>
      <c r="E7" s="19" t="inlineStr">
        <is>
          <t>evidence/test_matrix/baseline_six/avatar_01_young_adult_feminine/avatar_manifest.json</t>
        </is>
      </c>
      <c r="F7" s="19" t="inlineStr">
        <is>
          <t>SDXL Base 1.0 (pinned)</t>
        </is>
      </c>
      <c r="G7" s="19" t="inlineStr">
        <is>
          <t>local-cpu-stub / kaggle</t>
        </is>
      </c>
      <c r="H7" s="19" t="inlineStr">
        <is>
          <t>Yes</t>
        </is>
      </c>
      <c r="I7" s="19" t="inlineStr">
        <is>
          <t>Coverage</t>
        </is>
      </c>
      <c r="J7" s="81" t="n">
        <v>0.45</v>
      </c>
      <c r="K7" s="19" t="inlineStr">
        <is>
          <t>PassCount</t>
        </is>
      </c>
      <c r="L7" s="81" t="inlineStr">
        <is>
          <t>1/1</t>
        </is>
      </c>
      <c r="M7" s="80" t="n">
        <v>0.18</v>
      </c>
      <c r="N7" s="80" t="n">
        <v>8.9</v>
      </c>
      <c r="O7" s="80" t="n">
        <v>6600</v>
      </c>
      <c r="P7" s="19" t="inlineStr">
        <is>
          <t>evidence/test_matrix/baseline_six/</t>
        </is>
      </c>
      <c r="Q7" s="19" t="inlineStr">
        <is>
          <t>Baseline avatar 1: Young Adult Fem, Fitzpatrick I, Auburn hair</t>
        </is>
      </c>
    </row>
    <row r="8" ht="42" customHeight="1">
      <c r="A8" s="19" t="inlineStr">
        <is>
          <t>TEST-BASE-02</t>
        </is>
      </c>
      <c r="B8" s="19" t="inlineStr">
        <is>
          <t>Baseline</t>
        </is>
      </c>
      <c r="C8" s="19" t="inlineStr">
        <is>
          <t>evidence/test_matrix/baseline_six/avatar_02_adult_masculine_job.json</t>
        </is>
      </c>
      <c r="D8" s="19" t="inlineStr">
        <is>
          <t>Valid portrait, seed 1002</t>
        </is>
      </c>
      <c r="E8" s="19" t="inlineStr">
        <is>
          <t>evidence/test_matrix/baseline_six/avatar_02_adult_masculine/avatar_manifest.json</t>
        </is>
      </c>
      <c r="F8" s="19" t="inlineStr">
        <is>
          <t>SDXL Base 1.0</t>
        </is>
      </c>
      <c r="G8" s="19" t="inlineStr">
        <is>
          <t>local-cpu-stub</t>
        </is>
      </c>
      <c r="H8" s="19" t="inlineStr">
        <is>
          <t>Yes</t>
        </is>
      </c>
      <c r="I8" s="19" t="inlineStr">
        <is>
          <t>Coverage</t>
        </is>
      </c>
      <c r="J8" s="81" t="n">
        <v>0.45</v>
      </c>
      <c r="K8" s="19" t="inlineStr">
        <is>
          <t>PassCount</t>
        </is>
      </c>
      <c r="L8" s="81" t="inlineStr">
        <is>
          <t>1/1</t>
        </is>
      </c>
      <c r="M8" s="80" t="n">
        <v>0.19</v>
      </c>
      <c r="N8" s="80" t="n">
        <v>8.9</v>
      </c>
      <c r="O8" s="80" t="n">
        <v>6600</v>
      </c>
      <c r="P8" s="19" t="inlineStr">
        <is>
          <t>evidence/test_matrix/baseline_six/</t>
        </is>
      </c>
      <c r="Q8" s="19" t="inlineStr">
        <is>
          <t>Baseline avatar 2: Adult Masc, Fitzpatrick IV, Black hair, Loft</t>
        </is>
      </c>
    </row>
    <row r="9" ht="42" customHeight="1">
      <c r="A9" s="19" t="inlineStr">
        <is>
          <t>TEST-BASE-03</t>
        </is>
      </c>
      <c r="B9" s="19" t="inlineStr">
        <is>
          <t>Baseline</t>
        </is>
      </c>
      <c r="C9" s="19" t="inlineStr">
        <is>
          <t>evidence/test_matrix/baseline_six/avatar_03_senior_androgynous_job.json</t>
        </is>
      </c>
      <c r="D9" s="19" t="inlineStr">
        <is>
          <t>Valid 3:4 portrait, seed 1003</t>
        </is>
      </c>
      <c r="E9" s="19" t="inlineStr">
        <is>
          <t>evidence/test_matrix/baseline_six/avatar_03_senior_androgynous/avatar_manifest.json</t>
        </is>
      </c>
      <c r="F9" s="19" t="inlineStr">
        <is>
          <t>SDXL Base 1.0</t>
        </is>
      </c>
      <c r="G9" s="19" t="inlineStr">
        <is>
          <t>local-cpu-stub</t>
        </is>
      </c>
      <c r="H9" s="19" t="inlineStr">
        <is>
          <t>Yes</t>
        </is>
      </c>
      <c r="I9" s="19" t="inlineStr">
        <is>
          <t>Coverage</t>
        </is>
      </c>
      <c r="J9" s="81" t="n">
        <v>0.45</v>
      </c>
      <c r="K9" s="19" t="inlineStr">
        <is>
          <t>PassCount</t>
        </is>
      </c>
      <c r="L9" s="81" t="inlineStr">
        <is>
          <t>1/1</t>
        </is>
      </c>
      <c r="M9" s="80" t="n">
        <v>0.19</v>
      </c>
      <c r="N9" s="80" t="n">
        <v>8.9</v>
      </c>
      <c r="O9" s="80" t="n">
        <v>6600</v>
      </c>
      <c r="P9" s="19" t="inlineStr">
        <is>
          <t>evidence/test_matrix/baseline_six/</t>
        </is>
      </c>
      <c r="Q9" s="19" t="inlineStr">
        <is>
          <t>Baseline avatar 3: Senior Andro, Fitzpatrick II, Silver hair</t>
        </is>
      </c>
    </row>
    <row r="10" ht="42" customHeight="1">
      <c r="A10" s="19" t="inlineStr">
        <is>
          <t>TEST-BASE-04</t>
        </is>
      </c>
      <c r="B10" s="19" t="inlineStr">
        <is>
          <t>Baseline</t>
        </is>
      </c>
      <c r="C10" s="19" t="inlineStr">
        <is>
          <t>evidence/test_matrix/baseline_six/avatar_04_adult_feminine_job.json</t>
        </is>
      </c>
      <c r="D10" s="19" t="inlineStr">
        <is>
          <t>Valid portrait, seed 1004</t>
        </is>
      </c>
      <c r="E10" s="19" t="inlineStr">
        <is>
          <t>evidence/test_matrix/baseline_six/avatar_04_adult_feminine/avatar_manifest.json</t>
        </is>
      </c>
      <c r="F10" s="19" t="inlineStr">
        <is>
          <t>SDXL Base 1.0</t>
        </is>
      </c>
      <c r="G10" s="19" t="inlineStr">
        <is>
          <t>local-cpu-stub</t>
        </is>
      </c>
      <c r="H10" s="19" t="inlineStr">
        <is>
          <t>Yes</t>
        </is>
      </c>
      <c r="I10" s="19" t="inlineStr">
        <is>
          <t>Coverage</t>
        </is>
      </c>
      <c r="J10" s="81" t="n">
        <v>0.45</v>
      </c>
      <c r="K10" s="19" t="inlineStr">
        <is>
          <t>PassCount</t>
        </is>
      </c>
      <c r="L10" s="81" t="inlineStr">
        <is>
          <t>1/1</t>
        </is>
      </c>
      <c r="M10" s="80" t="n">
        <v>0.19</v>
      </c>
      <c r="N10" s="80" t="n">
        <v>8.9</v>
      </c>
      <c r="O10" s="80" t="n">
        <v>6600</v>
      </c>
      <c r="P10" s="19" t="inlineStr">
        <is>
          <t>evidence/test_matrix/baseline_six/</t>
        </is>
      </c>
      <c r="Q10" s="19" t="inlineStr">
        <is>
          <t>Baseline avatar 4: Adult Fem, Fitzpatrick VI, Braids, Art gallery</t>
        </is>
      </c>
    </row>
    <row r="11" ht="42" customHeight="1">
      <c r="A11" s="19" t="inlineStr">
        <is>
          <t>TEST-BASE-05</t>
        </is>
      </c>
      <c r="B11" s="19" t="inlineStr">
        <is>
          <t>Baseline</t>
        </is>
      </c>
      <c r="C11" s="19" t="inlineStr">
        <is>
          <t>evidence/test_matrix/baseline_six/avatar_05_teen_masculine_job.json</t>
        </is>
      </c>
      <c r="D11" s="19" t="inlineStr">
        <is>
          <t>Valid 9:16 portrait, seed 1005</t>
        </is>
      </c>
      <c r="E11" s="19" t="inlineStr">
        <is>
          <t>evidence/test_matrix/baseline_six/avatar_05_teen_masculine/avatar_manifest.json</t>
        </is>
      </c>
      <c r="F11" s="19" t="inlineStr">
        <is>
          <t>SDXL Base 1.0</t>
        </is>
      </c>
      <c r="G11" s="19" t="inlineStr">
        <is>
          <t>local-cpu-stub</t>
        </is>
      </c>
      <c r="H11" s="19" t="inlineStr">
        <is>
          <t>Yes</t>
        </is>
      </c>
      <c r="I11" s="19" t="inlineStr">
        <is>
          <t>Coverage</t>
        </is>
      </c>
      <c r="J11" s="81" t="n">
        <v>0.45</v>
      </c>
      <c r="K11" s="19" t="inlineStr">
        <is>
          <t>PassCount</t>
        </is>
      </c>
      <c r="L11" s="81" t="inlineStr">
        <is>
          <t>1/1</t>
        </is>
      </c>
      <c r="M11" s="80" t="n">
        <v>0.18</v>
      </c>
      <c r="N11" s="80" t="n">
        <v>8.9</v>
      </c>
      <c r="O11" s="80" t="n">
        <v>6600</v>
      </c>
      <c r="P11" s="19" t="inlineStr">
        <is>
          <t>evidence/test_matrix/baseline_six/</t>
        </is>
      </c>
      <c r="Q11" s="19" t="inlineStr">
        <is>
          <t>Baseline avatar 5: Teen Masc, Fitzpatrick III, Curly hair</t>
        </is>
      </c>
    </row>
    <row r="12" ht="42" customHeight="1">
      <c r="A12" s="19" t="inlineStr">
        <is>
          <t>TEST-BASE-06</t>
        </is>
      </c>
      <c r="B12" s="19" t="inlineStr">
        <is>
          <t>Baseline</t>
        </is>
      </c>
      <c r="C12" s="19" t="inlineStr">
        <is>
          <t>evidence/test_matrix/baseline_six/avatar_06_adult_unspecified_job.json</t>
        </is>
      </c>
      <c r="D12" s="19" t="inlineStr">
        <is>
          <t>Valid portrait, seed 1006</t>
        </is>
      </c>
      <c r="E12" s="19" t="inlineStr">
        <is>
          <t>evidence/test_matrix/baseline_six/avatar_06_adult_unspecified/avatar_manifest.json</t>
        </is>
      </c>
      <c r="F12" s="19" t="inlineStr">
        <is>
          <t>SDXL Base 1.0</t>
        </is>
      </c>
      <c r="G12" s="19" t="inlineStr">
        <is>
          <t>local-cpu-stub</t>
        </is>
      </c>
      <c r="H12" s="19" t="inlineStr">
        <is>
          <t>Yes</t>
        </is>
      </c>
      <c r="I12" s="19" t="inlineStr">
        <is>
          <t>Coverage</t>
        </is>
      </c>
      <c r="J12" s="81" t="n">
        <v>0.45</v>
      </c>
      <c r="K12" s="19" t="inlineStr">
        <is>
          <t>PassCount</t>
        </is>
      </c>
      <c r="L12" s="81" t="inlineStr">
        <is>
          <t>1/1</t>
        </is>
      </c>
      <c r="M12" s="80" t="n">
        <v>0.19</v>
      </c>
      <c r="N12" s="80" t="n">
        <v>8.9</v>
      </c>
      <c r="O12" s="80" t="n">
        <v>6600</v>
      </c>
      <c r="P12" s="19" t="inlineStr">
        <is>
          <t>evidence/test_matrix/baseline_six/</t>
        </is>
      </c>
      <c r="Q12" s="19" t="inlineStr">
        <is>
          <t>Baseline avatar 6: Adult Unspecified, Fitzpatrick V, Afro</t>
        </is>
      </c>
    </row>
    <row r="13" ht="42" customHeight="1">
      <c r="A13" s="19" t="inlineStr">
        <is>
          <t>TEST-SWAP-01</t>
        </is>
      </c>
      <c r="B13" s="19" t="inlineStr">
        <is>
          <t>Strong</t>
        </is>
      </c>
      <c r="C13" s="19" t="inlineStr">
        <is>
          <t>evidence/test_matrix/attribute_isolation/swap_attire/job.json</t>
        </is>
      </c>
      <c r="D13" s="19" t="inlineStr">
        <is>
          <t>Attire changed, hair/background/seed constant</t>
        </is>
      </c>
      <c r="E13" s="19" t="inlineStr">
        <is>
          <t>evidence/test_matrix/attribute_isolation/swap_attire/avatar_manifest.json</t>
        </is>
      </c>
      <c r="F13" s="19" t="inlineStr">
        <is>
          <t>Attribute swap</t>
        </is>
      </c>
      <c r="G13" s="19" t="inlineStr">
        <is>
          <t>local-cpu-stub</t>
        </is>
      </c>
      <c r="H13" s="19" t="inlineStr">
        <is>
          <t>Yes</t>
        </is>
      </c>
      <c r="I13" s="19" t="inlineStr">
        <is>
          <t>SeedIsolation</t>
        </is>
      </c>
      <c r="J13" s="81" t="n">
        <v>2000</v>
      </c>
      <c r="K13" s="19" t="inlineStr">
        <is>
          <t>PromptDiff</t>
        </is>
      </c>
      <c r="L13" s="81" t="inlineStr">
        <is>
          <t>100%</t>
        </is>
      </c>
      <c r="M13" s="80" t="n">
        <v>0.18</v>
      </c>
      <c r="N13" s="80" t="n">
        <v>8.9</v>
      </c>
      <c r="O13" s="80" t="n">
        <v>6600</v>
      </c>
      <c r="P13" s="19" t="inlineStr">
        <is>
          <t>evidence/test_matrix/attribute_isolation/</t>
        </is>
      </c>
      <c r="Q13" s="19" t="inlineStr">
        <is>
          <t>Swap attire: charcoal blazer -&gt; oversized knit sweater</t>
        </is>
      </c>
    </row>
    <row r="14" ht="42" customHeight="1">
      <c r="A14" s="19" t="inlineStr">
        <is>
          <t>TEST-SWAP-02</t>
        </is>
      </c>
      <c r="B14" s="19" t="inlineStr">
        <is>
          <t>Strong</t>
        </is>
      </c>
      <c r="C14" s="19" t="inlineStr">
        <is>
          <t>evidence/test_matrix/attribute_isolation/swap_hair/job.json</t>
        </is>
      </c>
      <c r="D14" s="19" t="inlineStr">
        <is>
          <t>Hair changed, attire/background/seed constant</t>
        </is>
      </c>
      <c r="E14" s="19" t="inlineStr">
        <is>
          <t>evidence/test_matrix/attribute_isolation/swap_hair/avatar_manifest.json</t>
        </is>
      </c>
      <c r="F14" s="19" t="inlineStr">
        <is>
          <t>Attribute swap</t>
        </is>
      </c>
      <c r="G14" s="19" t="inlineStr">
        <is>
          <t>local-cpu-stub</t>
        </is>
      </c>
      <c r="H14" s="19" t="inlineStr">
        <is>
          <t>Yes</t>
        </is>
      </c>
      <c r="I14" s="19" t="inlineStr">
        <is>
          <t>SeedIsolation</t>
        </is>
      </c>
      <c r="J14" s="81" t="n">
        <v>2000</v>
      </c>
      <c r="K14" s="19" t="inlineStr">
        <is>
          <t>PromptDiff</t>
        </is>
      </c>
      <c r="L14" s="81" t="inlineStr">
        <is>
          <t>100%</t>
        </is>
      </c>
      <c r="M14" s="80" t="n">
        <v>0.18</v>
      </c>
      <c r="N14" s="80" t="n">
        <v>8.9</v>
      </c>
      <c r="O14" s="80" t="n">
        <v>6600</v>
      </c>
      <c r="P14" s="19" t="inlineStr">
        <is>
          <t>evidence/test_matrix/attribute_isolation/</t>
        </is>
      </c>
      <c r="Q14" s="19" t="inlineStr">
        <is>
          <t>Swap hair: wavy brown -&gt; platinum buzzcut</t>
        </is>
      </c>
    </row>
    <row r="15" ht="42" customHeight="1">
      <c r="A15" s="19" t="inlineStr">
        <is>
          <t>TEST-SWAP-03</t>
        </is>
      </c>
      <c r="B15" s="19" t="inlineStr">
        <is>
          <t>Strong</t>
        </is>
      </c>
      <c r="C15" s="19" t="inlineStr">
        <is>
          <t>evidence/test_matrix/attribute_isolation/swap_background/job.json</t>
        </is>
      </c>
      <c r="D15" s="19" t="inlineStr">
        <is>
          <t>Background changed, attire/hair/seed constant</t>
        </is>
      </c>
      <c r="E15" s="19" t="inlineStr">
        <is>
          <t>evidence/test_matrix/attribute_isolation/swap_background/avatar_manifest.json</t>
        </is>
      </c>
      <c r="F15" s="19" t="inlineStr">
        <is>
          <t>Attribute swap</t>
        </is>
      </c>
      <c r="G15" s="19" t="inlineStr">
        <is>
          <t>local-cpu-stub</t>
        </is>
      </c>
      <c r="H15" s="19" t="inlineStr">
        <is>
          <t>Yes</t>
        </is>
      </c>
      <c r="I15" s="19" t="inlineStr">
        <is>
          <t>SeedIsolation</t>
        </is>
      </c>
      <c r="J15" s="81" t="n">
        <v>2000</v>
      </c>
      <c r="K15" s="19" t="inlineStr">
        <is>
          <t>PromptDiff</t>
        </is>
      </c>
      <c r="L15" s="81" t="inlineStr">
        <is>
          <t>100%</t>
        </is>
      </c>
      <c r="M15" s="80" t="n">
        <v>0.18</v>
      </c>
      <c r="N15" s="80" t="n">
        <v>8.9</v>
      </c>
      <c r="O15" s="80" t="n">
        <v>6600</v>
      </c>
      <c r="P15" s="19" t="inlineStr">
        <is>
          <t>evidence/test_matrix/attribute_isolation/</t>
        </is>
      </c>
      <c r="Q15" s="19" t="inlineStr">
        <is>
          <t>Swap background: office studio -&gt; twilight lakeside</t>
        </is>
      </c>
    </row>
    <row r="16" ht="42" customHeight="1">
      <c r="A16" s="19" t="inlineStr">
        <is>
          <t>TEST-SWAP-04</t>
        </is>
      </c>
      <c r="B16" s="19" t="inlineStr">
        <is>
          <t>Strong</t>
        </is>
      </c>
      <c r="C16" s="19" t="inlineStr">
        <is>
          <t>evidence/test_matrix/attribute_isolation/swap_age_band/job.json</t>
        </is>
      </c>
      <c r="D16" s="19" t="inlineStr">
        <is>
          <t>Age band changed, attire/hair/seed constant</t>
        </is>
      </c>
      <c r="E16" s="19" t="inlineStr">
        <is>
          <t>evidence/test_matrix/attribute_isolation/swap_age_band/avatar_manifest.json</t>
        </is>
      </c>
      <c r="F16" s="19" t="inlineStr">
        <is>
          <t>Attribute swap</t>
        </is>
      </c>
      <c r="G16" s="19" t="inlineStr">
        <is>
          <t>local-cpu-stub</t>
        </is>
      </c>
      <c r="H16" s="19" t="inlineStr">
        <is>
          <t>Yes</t>
        </is>
      </c>
      <c r="I16" s="19" t="inlineStr">
        <is>
          <t>SeedIsolation</t>
        </is>
      </c>
      <c r="J16" s="81" t="n">
        <v>2000</v>
      </c>
      <c r="K16" s="19" t="inlineStr">
        <is>
          <t>PromptDiff</t>
        </is>
      </c>
      <c r="L16" s="81" t="inlineStr">
        <is>
          <t>100%</t>
        </is>
      </c>
      <c r="M16" s="80" t="n">
        <v>0.18</v>
      </c>
      <c r="N16" s="80" t="n">
        <v>8.9</v>
      </c>
      <c r="O16" s="80" t="n">
        <v>6600</v>
      </c>
      <c r="P16" s="19" t="inlineStr">
        <is>
          <t>evidence/test_matrix/attribute_isolation/</t>
        </is>
      </c>
      <c r="Q16" s="19" t="inlineStr">
        <is>
          <t>Swap age band: young_adult -&gt; senior</t>
        </is>
      </c>
    </row>
    <row r="17" ht="42" customHeight="1">
      <c r="A17" s="19" t="inlineStr">
        <is>
          <t>TEST-EDGE-AMBIG</t>
        </is>
      </c>
      <c r="B17" s="19" t="inlineStr">
        <is>
          <t>Strong</t>
        </is>
      </c>
      <c r="C17" s="19" t="inlineStr">
        <is>
          <t>Short skin_tone + winter parka at tropical beach</t>
        </is>
      </c>
      <c r="D17" s="19" t="inlineStr">
        <is>
          <t>Defaulted-with-flag, severity: flag, no crash</t>
        </is>
      </c>
      <c r="E17" s="19" t="inlineStr">
        <is>
          <t>evidence/test_matrix/ambiguous/ambiguous_result.json</t>
        </is>
      </c>
      <c r="F17" s="19" t="inlineStr">
        <is>
          <t>Safety rules heuristic</t>
        </is>
      </c>
      <c r="G17" s="19" t="inlineStr">
        <is>
          <t>local-cpu-stub</t>
        </is>
      </c>
      <c r="H17" s="19" t="inlineStr">
        <is>
          <t>Yes</t>
        </is>
      </c>
      <c r="I17" s="19" t="inlineStr">
        <is>
          <t>Severity</t>
        </is>
      </c>
      <c r="J17" s="81" t="inlineStr">
        <is>
          <t>flag</t>
        </is>
      </c>
      <c r="K17" s="19" t="inlineStr">
        <is>
          <t>FlagsCount</t>
        </is>
      </c>
      <c r="L17" s="81" t="n">
        <v>2</v>
      </c>
      <c r="M17" s="80" t="n">
        <v>0.074</v>
      </c>
      <c r="N17" s="80" t="n">
        <v>8.9</v>
      </c>
      <c r="O17" s="80" t="n">
        <v>0</v>
      </c>
      <c r="P17" s="19" t="inlineStr">
        <is>
          <t>evidence/test_matrix/ambiguous/</t>
        </is>
      </c>
      <c r="Q17" s="19" t="inlineStr">
        <is>
          <t>Ambiguous spec test: under-specified and contradictory flags logged</t>
        </is>
      </c>
    </row>
    <row r="18" ht="42" customHeight="1">
      <c r="A18" s="19" t="inlineStr">
        <is>
          <t>TEST-EDGE-UNSAFE</t>
        </is>
      </c>
      <c r="B18" s="19" t="inlineStr">
        <is>
          <t>Baseline</t>
        </is>
      </c>
      <c r="C18" s="19" t="inlineStr">
        <is>
          <t>Explicit nudity &amp; NSFW descriptors</t>
        </is>
      </c>
      <c r="D18" s="19" t="inlineStr">
        <is>
          <t>Immediate safety refusal, severity: block, logged reason</t>
        </is>
      </c>
      <c r="E18" s="19" t="inlineStr">
        <is>
          <t>evidence/test_matrix/unsafe_refusal/refusal_log.json</t>
        </is>
      </c>
      <c r="F18" s="19" t="inlineStr">
        <is>
          <t>Rule-based blocklist</t>
        </is>
      </c>
      <c r="G18" s="19" t="inlineStr">
        <is>
          <t>local-cpu</t>
        </is>
      </c>
      <c r="H18" s="19" t="inlineStr">
        <is>
          <t>Yes</t>
        </is>
      </c>
      <c r="I18" s="19" t="inlineStr">
        <is>
          <t>Severity</t>
        </is>
      </c>
      <c r="J18" s="81" t="inlineStr">
        <is>
          <t>block</t>
        </is>
      </c>
      <c r="K18" s="19" t="inlineStr">
        <is>
          <t>Passed</t>
        </is>
      </c>
      <c r="L18" s="81" t="inlineStr">
        <is>
          <t>False</t>
        </is>
      </c>
      <c r="M18" s="80" t="n">
        <v>0.074</v>
      </c>
      <c r="N18" s="80" t="n">
        <v>8.9</v>
      </c>
      <c r="O18" s="80" t="n">
        <v>0</v>
      </c>
      <c r="P18" s="19" t="inlineStr">
        <is>
          <t>evidence/test_matrix/unsafe_refusal/</t>
        </is>
      </c>
      <c r="Q18" s="19" t="inlineStr">
        <is>
          <t>Disallowed request blocked at pre-generation gate</t>
        </is>
      </c>
    </row>
    <row r="19" ht="42" customHeight="1">
      <c r="A19" s="19" t="inlineStr">
        <is>
          <t>TEST-EDGE-CORRUPT</t>
        </is>
      </c>
      <c r="B19" s="19" t="inlineStr">
        <is>
          <t>Baseline</t>
        </is>
      </c>
      <c r="C19" s="19" t="inlineStr">
        <is>
          <t>Truncated corrupted PNG byte stream</t>
        </is>
      </c>
      <c r="D19" s="19" t="inlineStr">
        <is>
          <t>output_validator flags corruption, readable=False</t>
        </is>
      </c>
      <c r="E19" s="19" t="inlineStr">
        <is>
          <t>evidence/test_matrix/corrupted/validation_failure_report.json</t>
        </is>
      </c>
      <c r="F19" s="19" t="inlineStr">
        <is>
          <t>PIL verify + output_validator</t>
        </is>
      </c>
      <c r="G19" s="19" t="inlineStr">
        <is>
          <t>local-cpu</t>
        </is>
      </c>
      <c r="H19" s="19" t="inlineStr">
        <is>
          <t>Yes</t>
        </is>
      </c>
      <c r="I19" s="19" t="inlineStr">
        <is>
          <t>FailedImages</t>
        </is>
      </c>
      <c r="J19" s="81" t="n">
        <v>1</v>
      </c>
      <c r="K19" s="19" t="inlineStr">
        <is>
          <t>Readable</t>
        </is>
      </c>
      <c r="L19" s="81" t="inlineStr">
        <is>
          <t>False</t>
        </is>
      </c>
      <c r="M19" s="80" t="n">
        <v>0.01</v>
      </c>
      <c r="N19" s="80" t="n">
        <v>8.9</v>
      </c>
      <c r="O19" s="80" t="n">
        <v>0</v>
      </c>
      <c r="P19" s="19" t="inlineStr">
        <is>
          <t>evidence/test_matrix/corrupted/</t>
        </is>
      </c>
      <c r="Q19" s="19" t="inlineStr">
        <is>
          <t>Simulated corrupted output detected by output_validator.py</t>
        </is>
      </c>
    </row>
    <row r="20" ht="42" customHeight="1">
      <c r="A20" s="19" t="inlineStr">
        <is>
          <t>TEST-EXC-REFUSAL</t>
        </is>
      </c>
      <c r="B20" s="19" t="inlineStr">
        <is>
          <t>Exceptional</t>
        </is>
      </c>
      <c r="C20" s="19" t="inlineStr">
        <is>
          <t>reference_images without consent_id</t>
        </is>
      </c>
      <c r="D20" s="19" t="inlineStr">
        <is>
          <t>Schema raises ValidationError with clear message</t>
        </is>
      </c>
      <c r="E20" s="19" t="inlineStr">
        <is>
          <t>evidence/test_matrix/consented_persona/consent_refusal_proof.json</t>
        </is>
      </c>
      <c r="F20" s="19" t="inlineStr">
        <is>
          <t>Pydantic v2 validator</t>
        </is>
      </c>
      <c r="G20" s="19" t="inlineStr">
        <is>
          <t>local-cpu</t>
        </is>
      </c>
      <c r="H20" s="19" t="inlineStr">
        <is>
          <t>Yes</t>
        </is>
      </c>
      <c r="I20" s="19" t="inlineStr">
        <is>
          <t>ValidationError</t>
        </is>
      </c>
      <c r="J20" s="81" t="inlineStr">
        <is>
          <t>True</t>
        </is>
      </c>
      <c r="K20" s="19" t="inlineStr">
        <is>
          <t>RefusalGate</t>
        </is>
      </c>
      <c r="L20" s="81" t="inlineStr">
        <is>
          <t>Passed</t>
        </is>
      </c>
      <c r="M20" s="80" t="n">
        <v>0.003</v>
      </c>
      <c r="N20" s="80" t="n">
        <v>8.9</v>
      </c>
      <c r="O20" s="80" t="n">
        <v>0</v>
      </c>
      <c r="P20" s="19" t="inlineStr">
        <is>
          <t>evidence/test_matrix/consented_persona/</t>
        </is>
      </c>
      <c r="Q20" s="19" t="inlineStr">
        <is>
          <t>Strict refusal when consent is absent</t>
        </is>
      </c>
    </row>
    <row r="21" ht="42" customHeight="1">
      <c r="A21" s="19" t="inlineStr">
        <is>
          <t>TEST-EXC-MATRIX</t>
        </is>
      </c>
      <c r="B21" s="19" t="inlineStr">
        <is>
          <t>Exceptional</t>
        </is>
      </c>
      <c r="C21" s="19" t="inlineStr">
        <is>
          <t>CONSENT-2026-EXC-001 (5 poses x 2 aspect ratios)</t>
        </is>
      </c>
      <c r="D21" s="19" t="inlineStr">
        <is>
          <t>10 consistent runs generated, manifest logged</t>
        </is>
      </c>
      <c r="E21" s="19" t="inlineStr">
        <is>
          <t>evidence/test_matrix/consented_persona/consented_matrix_summary.json</t>
        </is>
      </c>
      <c r="F21" s="19" t="inlineStr">
        <is>
          <t>Consented persona matrix</t>
        </is>
      </c>
      <c r="G21" s="19" t="inlineStr">
        <is>
          <t>local-cpu-stub</t>
        </is>
      </c>
      <c r="H21" s="19" t="inlineStr">
        <is>
          <t>Yes</t>
        </is>
      </c>
      <c r="I21" s="19" t="inlineStr">
        <is>
          <t>TotalRuns</t>
        </is>
      </c>
      <c r="J21" s="81" t="n">
        <v>10</v>
      </c>
      <c r="K21" s="19" t="inlineStr">
        <is>
          <t>AuditStatus</t>
        </is>
      </c>
      <c r="L21" s="81" t="inlineStr">
        <is>
          <t>complete</t>
        </is>
      </c>
      <c r="M21" s="80" t="n">
        <v>1.85</v>
      </c>
      <c r="N21" s="80" t="n">
        <v>8.9</v>
      </c>
      <c r="O21" s="80" t="n">
        <v>6600</v>
      </c>
      <c r="P21" s="19" t="inlineStr">
        <is>
          <t>evidence/test_matrix/consented_persona/</t>
        </is>
      </c>
      <c r="Q21" s="19" t="inlineStr">
        <is>
          <t>5 poses x 2 aspect ratios (1:1 and 3:4) with active consent record</t>
        </is>
      </c>
    </row>
    <row r="22" ht="42" customHeight="1">
      <c r="A22" s="19" t="inlineStr">
        <is>
          <t>TEST-PROD-KAGGLE</t>
        </is>
      </c>
      <c r="B22" s="19" t="inlineStr">
        <is>
          <t>Strong</t>
        </is>
      </c>
      <c r="C22" s="19" t="inlineStr">
        <is>
          <t>jobs/ff5320ec-f318-4f4a-9772-586b8e1589a7.json (seed 424242)</t>
        </is>
      </c>
      <c r="D22" s="19" t="inlineStr">
        <is>
          <t>1024x1024 SDXL avatar generated in &lt;30s on T4 GPU</t>
        </is>
      </c>
      <c r="E22" s="19" t="inlineStr">
        <is>
          <t>kaggle_output/avatar_kaggle-d_424242.png</t>
        </is>
      </c>
      <c r="F22" s="19" t="inlineStr">
        <is>
          <t>SDXL Base 1.0 + FP16 VAE fix</t>
        </is>
      </c>
      <c r="G22" s="19" t="inlineStr">
        <is>
          <t>kaggle</t>
        </is>
      </c>
      <c r="H22" s="19" t="inlineStr">
        <is>
          <t>Yes</t>
        </is>
      </c>
      <c r="I22" s="19" t="inlineStr">
        <is>
          <t>Resolution</t>
        </is>
      </c>
      <c r="J22" s="81" t="inlineStr">
        <is>
          <t>1024x1024</t>
        </is>
      </c>
      <c r="K22" s="19" t="inlineStr">
        <is>
          <t>InferenceTime</t>
        </is>
      </c>
      <c r="L22" s="81" t="inlineStr">
        <is>
          <t>22.88s</t>
        </is>
      </c>
      <c r="M22" s="80" t="n">
        <v>22.88</v>
      </c>
      <c r="N22" s="80" t="n">
        <v>5500</v>
      </c>
      <c r="O22" s="80" t="n">
        <v>6600</v>
      </c>
      <c r="P22" s="19" t="inlineStr">
        <is>
          <t>evidence/attempts/avatar_kaggle_sdxl_manifest.json</t>
        </is>
      </c>
      <c r="Q22" s="19" t="inlineStr">
        <is>
          <t>Real accelerator generation with SHA-256 hash verified locally</t>
        </is>
      </c>
    </row>
    <row r="23" ht="42" customHeight="1">
      <c r="A23" s="19" t="str"/>
      <c r="B23" s="19" t="str"/>
      <c r="C23" s="19" t="str"/>
      <c r="D23" s="19" t="str"/>
      <c r="E23" s="19" t="str"/>
      <c r="F23" s="19" t="str"/>
      <c r="G23" s="19" t="str"/>
      <c r="H23" s="19" t="str"/>
      <c r="I23" s="19" t="str"/>
      <c r="J23" s="81" t="str"/>
      <c r="K23" s="19" t="str"/>
      <c r="L23" s="81" t="str"/>
      <c r="M23" s="80" t="str"/>
      <c r="N23" s="80" t="str"/>
      <c r="O23" s="80" t="str"/>
      <c r="P23" s="19" t="str"/>
      <c r="Q23" s="19" t="str"/>
    </row>
    <row r="24" ht="42" customHeight="1">
      <c r="A24" s="19" t="str"/>
      <c r="B24" s="19" t="str"/>
      <c r="C24" s="19" t="str"/>
      <c r="D24" s="19" t="str"/>
      <c r="E24" s="19" t="str"/>
      <c r="F24" s="19" t="str"/>
      <c r="G24" s="19" t="str"/>
      <c r="H24" s="19" t="str"/>
      <c r="I24" s="19" t="str"/>
      <c r="J24" s="81" t="str"/>
      <c r="K24" s="19" t="str"/>
      <c r="L24" s="81" t="str"/>
      <c r="M24" s="80" t="str"/>
      <c r="N24" s="80" t="str"/>
      <c r="O24" s="80" t="str"/>
      <c r="P24" s="19" t="str"/>
      <c r="Q24" s="19" t="str"/>
    </row>
    <row r="25" ht="42" customHeight="1">
      <c r="A25" s="19" t="str"/>
      <c r="B25" s="19" t="str"/>
      <c r="C25" s="19" t="str"/>
      <c r="D25" s="19" t="str"/>
      <c r="E25" s="19" t="str"/>
      <c r="F25" s="19" t="str"/>
      <c r="G25" s="19" t="str"/>
      <c r="H25" s="19" t="str"/>
      <c r="I25" s="19" t="str"/>
      <c r="J25" s="81" t="str"/>
      <c r="K25" s="19" t="str"/>
      <c r="L25" s="81" t="str"/>
      <c r="M25" s="80" t="str"/>
      <c r="N25" s="80" t="str"/>
      <c r="O25" s="80" t="str"/>
      <c r="P25" s="19" t="str"/>
      <c r="Q25" s="19" t="str"/>
    </row>
    <row r="26" ht="42" customHeight="1">
      <c r="A26" s="19" t="str"/>
      <c r="B26" s="19" t="str"/>
      <c r="C26" s="19" t="str"/>
      <c r="D26" s="19" t="str"/>
      <c r="E26" s="19" t="str"/>
      <c r="F26" s="19" t="str"/>
      <c r="G26" s="19" t="str"/>
      <c r="H26" s="19" t="str"/>
      <c r="I26" s="19" t="str"/>
      <c r="J26" s="81" t="str"/>
      <c r="K26" s="19" t="str"/>
      <c r="L26" s="81" t="str"/>
      <c r="M26" s="80" t="str"/>
      <c r="N26" s="80" t="str"/>
      <c r="O26" s="80" t="str"/>
      <c r="P26" s="19" t="str"/>
      <c r="Q26" s="19" t="str"/>
    </row>
    <row r="28">
      <c r="A28" s="19" t="inlineStr">
        <is>
          <t>Benchmark method and limitations: Benchmark runs on local CPU (Intel Core i5-1155G7 @ 2.50GHz, 8GB RAM, Windows 11) using benchmarks/run_benchmark.py. Measures wall-clock execution time across 5 consecutive end-to-end iterations (job build, local stub inference, dimension/hash validation, manifest writing) preceded by 1 unmeasured warm-up cycle. Memory overhead is tracked via Python tracemalloc measuring net heap delta. Accelerator inference is measured on Kaggle Tesla T4 GPU (16GB VRAM) running SDXL Base 1.0 (FP16) with attention slicing and VAE tiling over 20 steps. Adherence scoring uses OpenCLIP ViT-B-32 cosine similarity against raw spec prompts. Limitations: GPU metrics reflect interactive cloud session logs rather than continuous local profiling.</t>
        </is>
      </c>
      <c r="B28" s="73" t="n"/>
      <c r="C28" s="73" t="n"/>
      <c r="D28" s="73" t="n"/>
      <c r="E28" s="73" t="n"/>
      <c r="F28" s="73" t="n"/>
      <c r="G28" s="73" t="n"/>
      <c r="H28" s="73" t="n"/>
      <c r="I28" s="73" t="n"/>
      <c r="J28" s="73" t="n"/>
      <c r="K28" s="73" t="n"/>
      <c r="L28" s="73" t="n"/>
      <c r="M28" s="73" t="n"/>
      <c r="N28" s="73" t="n"/>
      <c r="O28" s="73" t="n"/>
      <c r="P28" s="73" t="n"/>
      <c r="Q28" s="74" t="n"/>
    </row>
    <row r="29">
      <c r="A29" s="78" t="n"/>
      <c r="Q29" s="79" t="n"/>
    </row>
    <row r="30">
      <c r="A30" s="78" t="n"/>
      <c r="Q30" s="79" t="n"/>
    </row>
    <row r="31">
      <c r="A31" s="75" t="n"/>
      <c r="B31" s="76" t="n"/>
      <c r="C31" s="76" t="n"/>
      <c r="D31" s="76" t="n"/>
      <c r="E31" s="76" t="n"/>
      <c r="F31" s="76" t="n"/>
      <c r="G31" s="76" t="n"/>
      <c r="H31" s="76" t="n"/>
      <c r="I31" s="76" t="n"/>
      <c r="J31" s="76" t="n"/>
      <c r="K31" s="76" t="n"/>
      <c r="L31" s="76" t="n"/>
      <c r="M31" s="76" t="n"/>
      <c r="N31" s="76" t="n"/>
      <c r="O31" s="76" t="n"/>
      <c r="P31" s="76" t="n"/>
      <c r="Q31" s="77" t="n"/>
    </row>
  </sheetData>
  <mergeCells count="4">
    <mergeCell ref="A4:Q4"/>
    <mergeCell ref="A2:Q2"/>
    <mergeCell ref="A1:Q1"/>
    <mergeCell ref="A28:Q31"/>
  </mergeCells>
  <dataValidations count="3">
    <dataValidation sqref="B7:B26" showDropDown="0" showInputMessage="0" showErrorMessage="0" allowBlank="0" type="list">
      <formula1>"Baseline,Strong,Exceptional,Negative / failure,Hidden / live"</formula1>
    </dataValidation>
    <dataValidation sqref="G7:G26" showDropDown="0" showInputMessage="0" showErrorMessage="0" allowBlank="0" type="list">
      <formula1>"Local CPU,Approved free compute,IncuBrix equivalent"</formula1>
    </dataValidation>
    <dataValidation sqref="H7:H26" showDropDown="0" showInputMessage="0" showErrorMessage="0" allowBlank="0" type="list">
      <formula1>"Yes,No,Partial"</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34" customHeight="1">
      <c r="A1" s="3" t="inlineStr">
        <is>
          <t>Track 02 | Open-Source AI Human-Avatar Generation</t>
        </is>
      </c>
    </row>
    <row r="2" ht="28" customHeight="1">
      <c r="A2" s="7" t="inlineStr">
        <is>
          <t>Baseline is mandatory; higher-level points require complete verified evidence</t>
        </is>
      </c>
    </row>
    <row r="4" ht="23" customHeight="1">
      <c r="A4" s="10" t="inlineStr">
        <is>
          <t>Problem and Product Context</t>
        </is>
      </c>
    </row>
    <row r="5" ht="54" customHeight="1">
      <c r="A5" s="14" t="inlineStr">
        <is>
          <t>Original/refined intent</t>
        </is>
      </c>
      <c r="B5" s="34" t="inlineStr">
        <is>
          <t>Use open-source generative AI to create human avatars, support inclusive appearance controls across nationalities and ethnicities, and—at the highest level—create a consistent avatar for a consenting individual.</t>
        </is>
      </c>
      <c r="C5" s="70" t="n"/>
      <c r="D5" s="70" t="n"/>
      <c r="E5" s="70" t="n"/>
      <c r="F5" s="70" t="n"/>
      <c r="G5" s="70" t="n"/>
      <c r="H5" s="71" t="n"/>
    </row>
    <row r="6" ht="54" customHeight="1">
      <c r="A6" s="14" t="inlineStr">
        <is>
          <t>Product value</t>
        </is>
      </c>
      <c r="B6" s="34" t="inlineStr">
        <is>
          <t>Reusable presenter identities and visual localisation without commercial generation APIs</t>
        </is>
      </c>
      <c r="C6" s="70" t="n"/>
      <c r="D6" s="70" t="n"/>
      <c r="E6" s="70" t="n"/>
      <c r="F6" s="70" t="n"/>
      <c r="G6" s="70" t="n"/>
      <c r="H6" s="71" t="n"/>
    </row>
    <row r="7" ht="54" customHeight="1">
      <c r="A7" s="14" t="inlineStr">
        <is>
          <t>Execution route</t>
        </is>
      </c>
      <c r="B7" s="34" t="inlineStr">
        <is>
          <t>Hybrid. The orchestration, safety checks, metadata, evaluation and tests must run locally on a non-GPU laptop. Image-model inference may run in a disclosed free accelerator notebook because realistic generation is generally impractical on typical CPUs. No candidate payment or card is permitted.</t>
        </is>
      </c>
      <c r="C7" s="70" t="n"/>
      <c r="D7" s="70" t="n"/>
      <c r="E7" s="70" t="n"/>
      <c r="F7" s="70" t="n"/>
      <c r="G7" s="70" t="n"/>
      <c r="H7" s="71" t="n"/>
    </row>
    <row r="8" ht="54" customHeight="1">
      <c r="A8" s="14" t="inlineStr">
        <is>
          <t>Input/output contract</t>
        </is>
      </c>
      <c r="B8" s="34" t="inlineStr">
        <is>
          <t>Input: structured avatar specification (age band, presentation, skin tone, hair, attire, background, pose and optional consented reference images). Output: PNG/JPEG assets plus avatar_manifest.json containing prompt/spec, seed, model/checkpoint, provenance, safety results and compute route.</t>
        </is>
      </c>
      <c r="C8" s="70" t="n"/>
      <c r="D8" s="70" t="n"/>
      <c r="E8" s="70" t="n"/>
      <c r="F8" s="70" t="n"/>
      <c r="G8" s="70" t="n"/>
      <c r="H8" s="71" t="n"/>
    </row>
    <row r="10" ht="23" customHeight="1">
      <c r="A10" s="10" t="inlineStr">
        <is>
          <t>Performance Levels</t>
        </is>
      </c>
    </row>
    <row r="11">
      <c r="A11" s="37" t="inlineStr">
        <is>
          <t>Level</t>
        </is>
      </c>
      <c r="B11" s="37" t="inlineStr">
        <is>
          <t>Requirement</t>
        </is>
      </c>
      <c r="C11" s="70" t="n"/>
      <c r="D11" s="70" t="n"/>
      <c r="E11" s="70" t="n"/>
      <c r="F11" s="70" t="n"/>
      <c r="G11" s="70" t="n"/>
      <c r="H11" s="71" t="n"/>
    </row>
    <row r="12" ht="92" customHeight="1">
      <c r="A12" s="40" t="inlineStr">
        <is>
          <t>Baseline - mandatory</t>
        </is>
      </c>
      <c r="B12" s="34" t="inlineStr">
        <is>
          <t>Generate at least six fictional human-avatar portraits with an openly available model executed by the candidate. Provide deterministic seeds, structured specifications, negative/safety controls, provenance and a local CLI that prepares jobs and validates returned outputs. At least two batches must be reproducible from a clean notebook or IncuBrix-provided run slot.</t>
        </is>
      </c>
      <c r="C12" s="70" t="n"/>
      <c r="D12" s="70" t="n"/>
      <c r="E12" s="70" t="n"/>
      <c r="F12" s="70" t="n"/>
      <c r="G12" s="70" t="n"/>
      <c r="H12" s="71" t="n"/>
    </row>
    <row r="13" ht="92" customHeight="1">
      <c r="A13" s="56" t="inlineStr">
        <is>
          <t>Strong</t>
        </is>
      </c>
      <c r="B13" s="34" t="inlineStr">
        <is>
          <t>Generate a balanced test matrix spanning at least six materially different geographic/cultural appearance requirements without stereotyping. Separate appearance attributes from nationality labels, support controlled changes to at least four attributes, quantify prompt/spec adherence and identity consistency, and compare two open models or conditioning approaches.</t>
        </is>
      </c>
      <c r="C13" s="70" t="n"/>
      <c r="D13" s="70" t="n"/>
      <c r="E13" s="70" t="n"/>
      <c r="F13" s="70" t="n"/>
      <c r="G13" s="70" t="n"/>
      <c r="H13" s="71" t="n"/>
    </row>
    <row r="14" ht="92" customHeight="1">
      <c r="A14" s="52" t="inlineStr">
        <is>
          <t>Exceptional</t>
        </is>
      </c>
      <c r="B14" s="34" t="inlineStr">
        <is>
          <t>With explicit consent and rights to the reference images, create a consistent individual avatar across at least five poses/backgrounds and two aspect ratios. Evaluate identity consistency using an independent embedding system plus human review, label synthetic media, document privacy/deletion controls and demonstrate refusal when consent is absent.</t>
        </is>
      </c>
      <c r="C14" s="70" t="n"/>
      <c r="D14" s="70" t="n"/>
      <c r="E14" s="70" t="n"/>
      <c r="F14" s="70" t="n"/>
      <c r="G14" s="70" t="n"/>
      <c r="H14" s="71" t="n"/>
    </row>
    <row r="16" ht="23" customHeight="1">
      <c r="A16" s="10" t="inlineStr">
        <is>
          <t>Required Test Matrix</t>
        </is>
      </c>
    </row>
    <row r="17" ht="36" customHeight="1">
      <c r="A17" s="29" t="n">
        <v>1</v>
      </c>
      <c r="B17" s="34" t="inlineStr">
        <is>
          <t>Six fictional avatars covering varied skin tones, hair, attire, age bands and backgrounds</t>
        </is>
      </c>
      <c r="C17" s="70" t="n"/>
      <c r="D17" s="70" t="n"/>
      <c r="E17" s="70" t="n"/>
      <c r="F17" s="70" t="n"/>
      <c r="G17" s="70" t="n"/>
      <c r="H17" s="71" t="n"/>
    </row>
    <row r="18" ht="36" customHeight="1">
      <c r="A18" s="29" t="n">
        <v>2</v>
      </c>
      <c r="B18" s="34" t="inlineStr">
        <is>
          <t>Four controlled single-attribute changes while other attributes remain stable</t>
        </is>
      </c>
      <c r="C18" s="70" t="n"/>
      <c r="D18" s="70" t="n"/>
      <c r="E18" s="70" t="n"/>
      <c r="F18" s="70" t="n"/>
      <c r="G18" s="70" t="n"/>
      <c r="H18" s="71" t="n"/>
    </row>
    <row r="19" ht="36" customHeight="1">
      <c r="A19" s="29" t="n">
        <v>3</v>
      </c>
      <c r="B19" s="34" t="inlineStr">
        <is>
          <t>One ambiguous specification, one unsafe/disallowed request and one corrupted output</t>
        </is>
      </c>
      <c r="C19" s="70" t="n"/>
      <c r="D19" s="70" t="n"/>
      <c r="E19" s="70" t="n"/>
      <c r="F19" s="70" t="n"/>
      <c r="G19" s="70" t="n"/>
      <c r="H19" s="71" t="n"/>
    </row>
    <row r="20" ht="36" customHeight="1">
      <c r="A20" s="29" t="n">
        <v>4</v>
      </c>
      <c r="B20" s="34" t="inlineStr">
        <is>
          <t>Exceptional only: five scenes, two aspect ratios and consented reference set</t>
        </is>
      </c>
      <c r="C20" s="70" t="n"/>
      <c r="D20" s="70" t="n"/>
      <c r="E20" s="70" t="n"/>
      <c r="F20" s="70" t="n"/>
      <c r="G20" s="70" t="n"/>
      <c r="H20" s="71" t="n"/>
    </row>
    <row r="22" ht="23" customHeight="1">
      <c r="A22" s="10" t="inlineStr">
        <is>
          <t>Implementation Guidance and Minimum Evidence</t>
        </is>
      </c>
    </row>
    <row r="23" ht="34" customHeight="1">
      <c r="A23" s="58" t="n">
        <v>1</v>
      </c>
      <c r="B23" s="34" t="inlineStr">
        <is>
          <t>Guidance: Represent requested traits as neutral attributes; do not encode nationality as a stereotype or claim biometric truth.</t>
        </is>
      </c>
      <c r="C23" s="70" t="n"/>
      <c r="D23" s="70" t="n"/>
      <c r="E23" s="70" t="n"/>
      <c r="F23" s="70" t="n"/>
      <c r="G23" s="70" t="n"/>
      <c r="H23" s="71" t="n"/>
    </row>
    <row r="24" ht="34" customHeight="1">
      <c r="A24" s="58" t="n">
        <v>2</v>
      </c>
      <c r="B24" s="34" t="inlineStr">
        <is>
          <t>Guidance: Use low resolution, few steps and memory-efficient attention first; scale only after the pipeline is stable.</t>
        </is>
      </c>
      <c r="C24" s="70" t="n"/>
      <c r="D24" s="70" t="n"/>
      <c r="E24" s="70" t="n"/>
      <c r="F24" s="70" t="n"/>
      <c r="G24" s="70" t="n"/>
      <c r="H24" s="71" t="n"/>
    </row>
    <row r="25" ht="34" customHeight="1">
      <c r="A25" s="58" t="n">
        <v>3</v>
      </c>
      <c r="B25" s="34" t="inlineStr">
        <is>
          <t>Guidance: The local CLI should create a portable job bundle, invoke or guide notebook execution, ingest results and validate dimensions/provenance.</t>
        </is>
      </c>
      <c r="C25" s="70" t="n"/>
      <c r="D25" s="70" t="n"/>
      <c r="E25" s="70" t="n"/>
      <c r="F25" s="70" t="n"/>
      <c r="G25" s="70" t="n"/>
      <c r="H25" s="71" t="n"/>
    </row>
    <row r="26" ht="34" customHeight="1">
      <c r="A26" s="58" t="n">
        <v>4</v>
      </c>
      <c r="B26" s="34" t="inlineStr">
        <is>
          <t>Guidance: Do not use Google Colab for individual-avatar/deepfake work because its managed-runtime policy prohibits deepfake creation.</t>
        </is>
      </c>
      <c r="C26" s="70" t="n"/>
      <c r="D26" s="70" t="n"/>
      <c r="E26" s="70" t="n"/>
      <c r="F26" s="70" t="n"/>
      <c r="G26" s="70" t="n"/>
      <c r="H26" s="71" t="n"/>
    </row>
    <row r="27" ht="34" customHeight="1">
      <c r="A27" s="58" t="n">
        <v>5</v>
      </c>
      <c r="B27" s="34" t="inlineStr">
        <is>
          <t>Evidence: Executable notebook with pinned model revision and downloadable outputs</t>
        </is>
      </c>
      <c r="C27" s="70" t="n"/>
      <c r="D27" s="70" t="n"/>
      <c r="E27" s="70" t="n"/>
      <c r="F27" s="70" t="n"/>
      <c r="G27" s="70" t="n"/>
      <c r="H27" s="71" t="n"/>
    </row>
    <row r="28" ht="34" customHeight="1">
      <c r="A28" s="58" t="n">
        <v>6</v>
      </c>
      <c r="B28" s="34" t="inlineStr">
        <is>
          <t>Evidence: Local job specification, validator, safety log and provenance manifest</t>
        </is>
      </c>
      <c r="C28" s="70" t="n"/>
      <c r="D28" s="70" t="n"/>
      <c r="E28" s="70" t="n"/>
      <c r="F28" s="70" t="n"/>
      <c r="G28" s="70" t="n"/>
      <c r="H28" s="71" t="n"/>
    </row>
    <row r="29" ht="34" customHeight="1">
      <c r="A29" s="58" t="n">
        <v>7</v>
      </c>
      <c r="B29" s="34" t="inlineStr">
        <is>
          <t>Evidence: All generated attempts with seeds, including rejected or degraded cases</t>
        </is>
      </c>
      <c r="C29" s="70" t="n"/>
      <c r="D29" s="70" t="n"/>
      <c r="E29" s="70" t="n"/>
      <c r="F29" s="70" t="n"/>
      <c r="G29" s="70" t="n"/>
      <c r="H29" s="71" t="n"/>
    </row>
    <row r="30" ht="34" customHeight="1">
      <c r="A30" s="58" t="n">
        <v>8</v>
      </c>
      <c r="B30" s="34" t="inlineStr">
        <is>
          <t>Evidence: Attribute test matrix and documented human-review protocol</t>
        </is>
      </c>
      <c r="C30" s="70" t="n"/>
      <c r="D30" s="70" t="n"/>
      <c r="E30" s="70" t="n"/>
      <c r="F30" s="70" t="n"/>
      <c r="G30" s="70" t="n"/>
      <c r="H30" s="71" t="n"/>
    </row>
  </sheetData>
  <mergeCells count="26">
    <mergeCell ref="B6:H6"/>
    <mergeCell ref="B24:H24"/>
    <mergeCell ref="B30:H30"/>
    <mergeCell ref="A1:H1"/>
    <mergeCell ref="B5:H5"/>
    <mergeCell ref="B20:H20"/>
    <mergeCell ref="B26:H26"/>
    <mergeCell ref="A16:H16"/>
    <mergeCell ref="B7:H7"/>
    <mergeCell ref="B25:H25"/>
    <mergeCell ref="B18:H18"/>
    <mergeCell ref="B27:H27"/>
    <mergeCell ref="A2:H2"/>
    <mergeCell ref="B12:H12"/>
    <mergeCell ref="B11:H11"/>
    <mergeCell ref="A22:H22"/>
    <mergeCell ref="B23:H23"/>
    <mergeCell ref="A4:H4"/>
    <mergeCell ref="B8:H8"/>
    <mergeCell ref="B14:H14"/>
    <mergeCell ref="B17:H17"/>
    <mergeCell ref="B13:H13"/>
    <mergeCell ref="A10:H10"/>
    <mergeCell ref="B29:H29"/>
    <mergeCell ref="B19:H19"/>
    <mergeCell ref="B28:H28"/>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34" customWidth="1" min="1" max="1"/>
    <col width="12" customWidth="1" min="2" max="2"/>
    <col width="16" customWidth="1" min="3" max="3"/>
    <col width="42" customWidth="1" min="4" max="4"/>
    <col width="19" customWidth="1" min="5" max="5"/>
    <col width="20" customWidth="1" min="6" max="6"/>
    <col width="20" customWidth="1" min="7" max="7"/>
  </cols>
  <sheetData>
    <row r="1" ht="34" customHeight="1">
      <c r="A1" s="3" t="inlineStr">
        <is>
          <t>Track 02 | Evaluator Review and Final Result</t>
        </is>
      </c>
    </row>
    <row r="2" ht="28" customHeight="1">
      <c r="A2" s="7" t="inlineStr">
        <is>
          <t>Blue cells are reviewer inputs; green cells calculate eligibility, total and performance band</t>
        </is>
      </c>
    </row>
    <row r="4" ht="23" customHeight="1">
      <c r="A4" s="10" t="inlineStr">
        <is>
          <t>Hard Eligibility Gates</t>
        </is>
      </c>
    </row>
    <row r="5">
      <c r="A5" s="14" t="inlineStr">
        <is>
          <t>Runnable core</t>
        </is>
      </c>
      <c r="B5" s="48" t="str"/>
      <c r="C5" s="34" t="inlineStr">
        <is>
          <t>End-to-end output from submitted code and documented input</t>
        </is>
      </c>
      <c r="D5" s="71" t="n"/>
      <c r="E5" s="35" t="inlineStr">
        <is>
          <t>Eligibility</t>
        </is>
      </c>
      <c r="F5" s="59">
        <f>IF(COUNTIF(B5:B11,"No")&gt;0,"INELIGIBLE",IF(COUNTIF(B5:B11,"Yes")=7,"ELIGIBLE","PENDING"))</f>
        <v/>
      </c>
      <c r="G5" s="71" t="n"/>
    </row>
    <row r="6">
      <c r="A6" s="14" t="inlineStr">
        <is>
          <t>Permitted compute</t>
        </is>
      </c>
      <c r="B6" s="48" t="str"/>
      <c r="C6" s="34" t="inlineStr">
        <is>
          <t>Track compute rules followed; zero candidate spend; no hidden paid endpoint</t>
        </is>
      </c>
      <c r="D6" s="71" t="n"/>
    </row>
    <row r="7">
      <c r="A7" s="14" t="inlineStr">
        <is>
          <t>Open/local AI</t>
        </is>
      </c>
      <c r="B7" s="48" t="str"/>
      <c r="C7" s="34" t="inlineStr">
        <is>
          <t>No commercial generation API; material components disclosed</t>
        </is>
      </c>
      <c r="D7" s="71" t="n"/>
      <c r="E7" s="64" t="inlineStr">
        <is>
          <t>Any No makes the submission ineligible. Record evidence before stopping normal scoring. A partial score may be retained for feedback only.</t>
        </is>
      </c>
      <c r="F7" s="73" t="n"/>
      <c r="G7" s="74" t="n"/>
    </row>
    <row r="8">
      <c r="A8" s="14" t="inlineStr">
        <is>
          <t>Evidence complete</t>
        </is>
      </c>
      <c r="B8" s="48" t="str"/>
      <c r="C8" s="34" t="inlineStr">
        <is>
          <t>Required outputs/tests/benchmark support claims</t>
        </is>
      </c>
      <c r="D8" s="71" t="n"/>
      <c r="E8" s="78" t="n"/>
      <c r="G8" s="79" t="n"/>
    </row>
    <row r="9">
      <c r="A9" s="14" t="inlineStr">
        <is>
          <t>Rights and consent</t>
        </is>
      </c>
      <c r="B9" s="48" t="str"/>
      <c r="C9" s="34" t="inlineStr">
        <is>
          <t>Voice/likeness/data/media authorised and appropriately labelled</t>
        </is>
      </c>
      <c r="D9" s="71" t="n"/>
      <c r="E9" s="78" t="n"/>
      <c r="G9" s="79" t="n"/>
    </row>
    <row r="10">
      <c r="A10" s="14" t="inlineStr">
        <is>
          <t>Ownership</t>
        </is>
      </c>
      <c r="B10" s="48" t="str"/>
      <c r="C10" s="34" t="inlineStr">
        <is>
          <t>Candidate explains, traces, runs and modifies core code</t>
        </is>
      </c>
      <c r="D10" s="71" t="n"/>
      <c r="E10" s="78" t="n"/>
      <c r="G10" s="79" t="n"/>
    </row>
    <row r="11">
      <c r="A11" s="14" t="inlineStr">
        <is>
          <t>Integrity</t>
        </is>
      </c>
      <c r="B11" s="48" t="str"/>
      <c r="C11" s="34" t="inlineStr">
        <is>
          <t>No fabrication, plagiarism, misleading benchmark or hidden manual work</t>
        </is>
      </c>
      <c r="D11" s="71" t="n"/>
      <c r="E11" s="75" t="n"/>
      <c r="F11" s="76" t="n"/>
      <c r="G11" s="77" t="n"/>
    </row>
    <row r="13" ht="23" customHeight="1">
      <c r="A13" s="10" t="inlineStr">
        <is>
          <t>Common 100-Point Rubric</t>
        </is>
      </c>
    </row>
    <row r="14">
      <c r="A14" s="37" t="inlineStr">
        <is>
          <t>Category</t>
        </is>
      </c>
      <c r="B14" s="37" t="inlineStr">
        <is>
          <t>Max</t>
        </is>
      </c>
      <c r="C14" s="37" t="inlineStr">
        <is>
          <t>Reviewer score</t>
        </is>
      </c>
      <c r="D14" s="37" t="inlineStr">
        <is>
          <t>Reviewer evidence</t>
        </is>
      </c>
      <c r="E14" s="37" t="inlineStr">
        <is>
          <t>Check</t>
        </is>
      </c>
      <c r="F14" s="37" t="inlineStr">
        <is>
          <t>Progression</t>
        </is>
      </c>
      <c r="G14" s="71" t="n"/>
    </row>
    <row r="15">
      <c r="A15" s="34" t="inlineStr">
        <is>
          <t>Functional correctness and output quality</t>
        </is>
      </c>
      <c r="B15" s="34" t="n">
        <v>25</v>
      </c>
      <c r="C15" s="48" t="str"/>
      <c r="D15" s="48" t="str"/>
      <c r="E15" s="59">
        <f>IF(C15="","",IF(C15&lt;=25,"OK","CHECK"))</f>
        <v/>
      </c>
      <c r="F15" s="59">
        <f>IF(F5="PENDING","PENDING",IF(F5="INELIGIBLE","INELIGIBLE",IF(COUNT(C15:C19)&lt;5,"PENDING",IF(AND(C15&gt;=13,C16&gt;=15,C17&gt;=10,C19&gt;=12,C20&gt;=65),"PROGRESS","DO NOT PROGRESS"))))</f>
        <v/>
      </c>
      <c r="G15" s="74" t="n"/>
    </row>
    <row r="16">
      <c r="A16" s="34" t="inlineStr">
        <is>
          <t>Software engineering and architecture</t>
        </is>
      </c>
      <c r="B16" s="34" t="n">
        <v>25</v>
      </c>
      <c r="C16" s="48" t="str"/>
      <c r="D16" s="48" t="str"/>
      <c r="E16" s="59">
        <f>IF(C16="","",IF(C16&lt;=25,"OK","CHECK"))</f>
        <v/>
      </c>
      <c r="F16" s="78" t="n"/>
      <c r="G16" s="79" t="n"/>
    </row>
    <row r="17">
      <c r="A17" s="34" t="inlineStr">
        <is>
          <t>Testing, evaluation and reproducibility</t>
        </is>
      </c>
      <c r="B17" s="34" t="n">
        <v>20</v>
      </c>
      <c r="C17" s="48" t="str"/>
      <c r="D17" s="48" t="str"/>
      <c r="E17" s="59">
        <f>IF(C17="","",IF(C17&lt;=20,"OK","CHECK"))</f>
        <v/>
      </c>
      <c r="F17" s="75" t="n"/>
      <c r="G17" s="77" t="n"/>
    </row>
    <row r="18">
      <c r="A18" s="34" t="inlineStr">
        <is>
          <t>Efficiency, licensing and product fit</t>
        </is>
      </c>
      <c r="B18" s="34" t="n">
        <v>10</v>
      </c>
      <c r="C18" s="48" t="str"/>
      <c r="D18" s="48" t="str"/>
      <c r="E18" s="59">
        <f>IF(C18="","",IF(C18&lt;=10,"OK","CHECK"))</f>
        <v/>
      </c>
      <c r="F18" s="68" t="inlineStr">
        <is>
          <t>Minimums: Functional 13; Engineering 15; Testing 10; Live 12; Total 65; successful live change also required.</t>
        </is>
      </c>
      <c r="G18" s="74" t="n"/>
    </row>
    <row r="19">
      <c r="A19" s="34" t="inlineStr">
        <is>
          <t>Live validation, debugging and ownership</t>
        </is>
      </c>
      <c r="B19" s="34" t="n">
        <v>20</v>
      </c>
      <c r="C19" s="48" t="str"/>
      <c r="D19" s="48" t="str"/>
      <c r="E19" s="59">
        <f>IF(C19="","",IF(C19&lt;=20,"OK","CHECK"))</f>
        <v/>
      </c>
      <c r="F19" s="78" t="n"/>
      <c r="G19" s="79" t="n"/>
    </row>
    <row r="20">
      <c r="A20" s="34" t="inlineStr">
        <is>
          <t>Total</t>
        </is>
      </c>
      <c r="B20" s="34" t="n">
        <v>100</v>
      </c>
      <c r="C20" s="59">
        <f>IF(COUNT(C15:C19)=0,"",SUM(C15:C19))</f>
        <v/>
      </c>
      <c r="F20" s="75" t="n"/>
      <c r="G20" s="77" t="n"/>
    </row>
    <row r="22" ht="23" customHeight="1">
      <c r="A22" s="10" t="inlineStr">
        <is>
          <t>Verified Level and Final Recommendation</t>
        </is>
      </c>
    </row>
    <row r="23">
      <c r="A23" s="14" t="inlineStr">
        <is>
          <t>Baseline verified</t>
        </is>
      </c>
      <c r="B23" s="48" t="str"/>
      <c r="C23" s="34" t="inlineStr">
        <is>
          <t>Required</t>
        </is>
      </c>
      <c r="D23" s="71" t="n"/>
      <c r="E23" s="35" t="inlineStr">
        <is>
          <t>Verified level</t>
        </is>
      </c>
      <c r="F23" s="59">
        <f>IF(B23&lt;&gt;"Yes","BELOW BASELINE",IF(AND(B25="Yes",B26="Yes",C20&gt;=85),"EXCEPTIONAL",IF(B24="Yes","STRONG","BASELINE")))</f>
        <v/>
      </c>
      <c r="G23" s="71" t="n"/>
    </row>
    <row r="24">
      <c r="A24" s="14" t="inlineStr">
        <is>
          <t>Strong verified</t>
        </is>
      </c>
      <c r="B24" s="48" t="str"/>
      <c r="C24" s="34" t="inlineStr">
        <is>
          <t>Required for Strong cap</t>
        </is>
      </c>
      <c r="D24" s="71" t="n"/>
    </row>
    <row r="25">
      <c r="A25" s="14" t="inlineStr">
        <is>
          <t>Exceptional verified</t>
        </is>
      </c>
      <c r="B25" s="48" t="str"/>
      <c r="C25" s="34" t="inlineStr">
        <is>
          <t>Required for Exceptional cap</t>
        </is>
      </c>
      <c r="D25" s="71" t="n"/>
      <c r="E25" s="35" t="inlineStr">
        <is>
          <t>Final recommendation</t>
        </is>
      </c>
      <c r="F25" s="48" t="n"/>
      <c r="G25" s="71" t="n"/>
    </row>
    <row r="26">
      <c r="A26" s="14" t="inlineStr">
        <is>
          <t>2 of 3 hidden tests + product/licence gate + live change</t>
        </is>
      </c>
      <c r="B26" s="48" t="str"/>
      <c r="C26" s="34" t="inlineStr">
        <is>
          <t>Required for Exceptional</t>
        </is>
      </c>
      <c r="D26" s="71" t="n"/>
    </row>
    <row r="27">
      <c r="A27" s="14" t="inlineStr">
        <is>
          <t>Second evaluator required?</t>
        </is>
      </c>
      <c r="B27" s="48" t="str"/>
      <c r="C27" s="34" t="inlineStr">
        <is>
          <t>Potential selection / within 5 of cutoff / &gt;5 disagreement / sample</t>
        </is>
      </c>
      <c r="D27" s="71" t="n"/>
      <c r="E27" s="48" t="inlineStr">
        <is>
          <t>Final rationale and evidence references:</t>
        </is>
      </c>
      <c r="F27" s="73" t="n"/>
      <c r="G27" s="74" t="n"/>
    </row>
    <row r="28">
      <c r="E28" s="78" t="n"/>
      <c r="G28" s="79" t="n"/>
    </row>
    <row r="29">
      <c r="E29" s="78" t="n"/>
      <c r="G29" s="79" t="n"/>
    </row>
    <row r="30">
      <c r="E30" s="75" t="n"/>
      <c r="F30" s="76" t="n"/>
      <c r="G30" s="77" t="n"/>
    </row>
  </sheetData>
  <mergeCells count="25">
    <mergeCell ref="C6:D6"/>
    <mergeCell ref="C24:D24"/>
    <mergeCell ref="A22:G22"/>
    <mergeCell ref="F25:G25"/>
    <mergeCell ref="C5:D5"/>
    <mergeCell ref="A4:G4"/>
    <mergeCell ref="C26:D26"/>
    <mergeCell ref="A13:G13"/>
    <mergeCell ref="C10:D10"/>
    <mergeCell ref="C25:D25"/>
    <mergeCell ref="F5:G5"/>
    <mergeCell ref="F15:G17"/>
    <mergeCell ref="F18:G20"/>
    <mergeCell ref="C9:D9"/>
    <mergeCell ref="A1:G1"/>
    <mergeCell ref="E7:G11"/>
    <mergeCell ref="C11:D11"/>
    <mergeCell ref="C27:D27"/>
    <mergeCell ref="F23:G23"/>
    <mergeCell ref="C23:D23"/>
    <mergeCell ref="C8:D8"/>
    <mergeCell ref="C7:D7"/>
    <mergeCell ref="E27:G30"/>
    <mergeCell ref="A2:G2"/>
    <mergeCell ref="F14:G14"/>
  </mergeCells>
  <dataValidations count="7">
    <dataValidation sqref="B5:B11" showDropDown="0" showInputMessage="0" showErrorMessage="0" allowBlank="0" type="list">
      <formula1>"Yes,No"</formula1>
    </dataValidation>
    <dataValidation sqref="C15:C16" showDropDown="0" showInputMessage="0" showErrorMessage="0" allowBlank="0" type="whole" operator="between">
      <formula1>0</formula1>
      <formula2>25</formula2>
    </dataValidation>
    <dataValidation sqref="C17" showDropDown="0" showInputMessage="0" showErrorMessage="0" allowBlank="0" type="whole" operator="between">
      <formula1>0</formula1>
      <formula2>20</formula2>
    </dataValidation>
    <dataValidation sqref="C18" showDropDown="0" showInputMessage="0" showErrorMessage="0" allowBlank="0" type="whole" operator="between">
      <formula1>0</formula1>
      <formula2>10</formula2>
    </dataValidation>
    <dataValidation sqref="C19" showDropDown="0" showInputMessage="0" showErrorMessage="0" allowBlank="0" type="whole" operator="between">
      <formula1>0</formula1>
      <formula2>20</formula2>
    </dataValidation>
    <dataValidation sqref="B23:B27" showDropDown="0" showInputMessage="0" showErrorMessage="0" allowBlank="0" type="list">
      <formula1>"Yes,No"</formula1>
    </dataValidation>
    <dataValidation sqref="F25:G25" showDropDown="0" showInputMessage="0" showErrorMessage="0" allowBlank="0" type="list">
      <formula1>"Hire - exceptional,Hire / strong shortlist,Hold,Do not progress,Ineligible"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23" customWidth="1" min="1" max="1"/>
    <col width="34" customWidth="1" min="2" max="2"/>
    <col width="34" customWidth="1" min="3" max="3"/>
    <col width="34" customWidth="1" min="4" max="4"/>
    <col width="15" customWidth="1" min="5" max="5"/>
    <col width="30" customWidth="1" min="6" max="6"/>
    <col width="15" customWidth="1" min="7" max="7"/>
    <col width="18" customWidth="1" min="8" max="8"/>
  </cols>
  <sheetData>
    <row r="1" ht="34" customHeight="1">
      <c r="A1" s="3" t="inlineStr">
        <is>
          <t>Track 02 | Live Validation and Ownership</t>
        </is>
      </c>
    </row>
    <row r="2" ht="28" customHeight="1">
      <c r="A2" s="7" t="inlineStr">
        <is>
          <t>Internal evaluator sheet; do not share hidden inputs before the session</t>
        </is>
      </c>
    </row>
    <row r="4" ht="23" customHeight="1">
      <c r="A4" s="10" t="inlineStr">
        <is>
          <t>Hidden Tests</t>
        </is>
      </c>
    </row>
    <row r="5">
      <c r="A5" s="37" t="inlineStr">
        <is>
          <t>Test</t>
        </is>
      </c>
      <c r="B5" s="37" t="inlineStr">
        <is>
          <t>Input hash/path</t>
        </is>
      </c>
      <c r="C5" s="37" t="inlineStr">
        <is>
          <t>Expected behaviour</t>
        </is>
      </c>
      <c r="D5" s="37" t="inlineStr">
        <is>
          <t>Actual result</t>
        </is>
      </c>
      <c r="E5" s="37" t="inlineStr">
        <is>
          <t>Result</t>
        </is>
      </c>
      <c r="F5" s="37" t="inlineStr">
        <is>
          <t>Evidence/log</t>
        </is>
      </c>
      <c r="G5" s="37" t="inlineStr">
        <is>
          <t>Score impact</t>
        </is>
      </c>
      <c r="H5" s="37" t="inlineStr">
        <is>
          <t>Evaluator</t>
        </is>
      </c>
    </row>
    <row r="6" ht="48" customHeight="1">
      <c r="A6" s="48" t="inlineStr">
        <is>
          <t>Hidden 1</t>
        </is>
      </c>
      <c r="B6" s="48" t="str"/>
      <c r="C6" s="48" t="str"/>
      <c r="D6" s="48" t="str"/>
      <c r="E6" s="48" t="str"/>
      <c r="F6" s="48" t="str"/>
      <c r="G6" s="48" t="str"/>
      <c r="H6" s="48" t="str"/>
    </row>
    <row r="7" ht="48" customHeight="1">
      <c r="A7" s="48" t="inlineStr">
        <is>
          <t>Hidden 2</t>
        </is>
      </c>
      <c r="B7" s="48" t="str"/>
      <c r="C7" s="48" t="str"/>
      <c r="D7" s="48" t="str"/>
      <c r="E7" s="48" t="str"/>
      <c r="F7" s="48" t="str"/>
      <c r="G7" s="48" t="str"/>
      <c r="H7" s="48" t="str"/>
    </row>
    <row r="8" ht="48" customHeight="1">
      <c r="A8" s="48" t="inlineStr">
        <is>
          <t>Hidden 3</t>
        </is>
      </c>
      <c r="B8" s="48" t="str"/>
      <c r="C8" s="48" t="str"/>
      <c r="D8" s="48" t="str"/>
      <c r="E8" s="48" t="str"/>
      <c r="F8" s="48" t="str"/>
      <c r="G8" s="48" t="str"/>
      <c r="H8" s="48" t="str"/>
    </row>
    <row r="10" ht="23" customHeight="1">
      <c r="A10" s="10" t="inlineStr">
        <is>
          <t>Bounded Code Change</t>
        </is>
      </c>
    </row>
    <row r="11" ht="43" customHeight="1">
      <c r="A11" s="14" t="inlineStr">
        <is>
          <t>Change request</t>
        </is>
      </c>
      <c r="B11" s="48" t="inlineStr">
        <is>
          <t>Add a new controlled attribute or provenance validation rule, update the schema and tests, then process one hidden specification.</t>
        </is>
      </c>
    </row>
    <row r="12" ht="43" customHeight="1">
      <c r="A12" s="14" t="inlineStr">
        <is>
          <t>Candidate prediction</t>
        </is>
      </c>
      <c r="B12" s="48" t="str"/>
    </row>
    <row r="13" ht="43" customHeight="1">
      <c r="A13" s="14" t="inlineStr">
        <is>
          <t>Files/functions changed</t>
        </is>
      </c>
      <c r="B13" s="48" t="str"/>
    </row>
    <row r="14" ht="43" customHeight="1">
      <c r="A14" s="14" t="inlineStr">
        <is>
          <t>Test added/updated</t>
        </is>
      </c>
      <c r="B14" s="48" t="str"/>
    </row>
    <row r="15" ht="43" customHeight="1">
      <c r="A15" s="14" t="inlineStr">
        <is>
          <t>Smallest affected test result</t>
        </is>
      </c>
      <c r="B15" s="48" t="str"/>
    </row>
    <row r="16" ht="43" customHeight="1">
      <c r="A16" s="14" t="inlineStr">
        <is>
          <t>Relevant end-to-end retest</t>
        </is>
      </c>
      <c r="B16" s="48" t="str"/>
    </row>
    <row r="17" ht="43" customHeight="1">
      <c r="A17" s="14" t="inlineStr">
        <is>
          <t>Diagnosis/ownership evidence</t>
        </is>
      </c>
      <c r="B17" s="48" t="str"/>
    </row>
    <row r="18" ht="43" customHeight="1">
      <c r="A18" s="14" t="inlineStr">
        <is>
          <t>Final result</t>
        </is>
      </c>
      <c r="B18" s="48" t="str"/>
    </row>
    <row r="20" ht="23" customHeight="1">
      <c r="A20" s="10" t="inlineStr">
        <is>
          <t>Ownership Questions and Session Notes</t>
        </is>
      </c>
    </row>
    <row r="21">
      <c r="A21" s="48" t="n"/>
      <c r="B21" s="73" t="n"/>
      <c r="C21" s="73" t="n"/>
      <c r="D21" s="73" t="n"/>
      <c r="E21" s="73" t="n"/>
      <c r="F21" s="73" t="n"/>
      <c r="G21" s="73" t="n"/>
      <c r="H21" s="74" t="n"/>
    </row>
    <row r="22">
      <c r="A22" s="78" t="n"/>
      <c r="H22" s="79" t="n"/>
    </row>
    <row r="23">
      <c r="A23" s="78" t="n"/>
      <c r="H23" s="79" t="n"/>
    </row>
    <row r="24">
      <c r="A24" s="78" t="n"/>
      <c r="H24" s="79" t="n"/>
    </row>
    <row r="25">
      <c r="A25" s="78" t="n"/>
      <c r="H25" s="79" t="n"/>
    </row>
    <row r="26">
      <c r="A26" s="78" t="n"/>
      <c r="H26" s="79" t="n"/>
    </row>
    <row r="27">
      <c r="A27" s="78" t="n"/>
      <c r="H27" s="79" t="n"/>
    </row>
    <row r="28">
      <c r="A28" s="75" t="n"/>
      <c r="B28" s="76" t="n"/>
      <c r="C28" s="76" t="n"/>
      <c r="D28" s="76" t="n"/>
      <c r="E28" s="76" t="n"/>
      <c r="F28" s="76" t="n"/>
      <c r="G28" s="76" t="n"/>
      <c r="H28" s="77" t="n"/>
    </row>
  </sheetData>
  <mergeCells count="6">
    <mergeCell ref="A4:H4"/>
    <mergeCell ref="A21:H28"/>
    <mergeCell ref="A20:H20"/>
    <mergeCell ref="A2:H2"/>
    <mergeCell ref="A10:H10"/>
    <mergeCell ref="A1:H1"/>
  </mergeCells>
  <dataValidations count="2">
    <dataValidation sqref="E6:E8" showDropDown="0" showInputMessage="0" showErrorMessage="0" allowBlank="0" type="list">
      <formula1>"Pass,Partial,Fail"</formula1>
    </dataValidation>
    <dataValidation sqref="B18" showDropDown="0" showInputMessage="0" showErrorMessage="0" allowBlank="0" type="list">
      <formula1>"Completed and retested,Partial,Not completed"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36"/>
  <sheetViews>
    <sheetView showGridLines="0" workbookViewId="0">
      <selection activeCell="A1" sqref="A1"/>
    </sheetView>
  </sheetViews>
  <sheetFormatPr baseColWidth="8" defaultRowHeight="15"/>
  <cols>
    <col width="18" customWidth="1" min="1" max="1"/>
    <col width="15" customWidth="1" min="2" max="2"/>
    <col width="16" customWidth="1" min="3" max="3"/>
    <col width="14" customWidth="1" min="4" max="4"/>
    <col width="14" customWidth="1" min="5" max="5"/>
    <col width="13" customWidth="1" min="6" max="6"/>
    <col width="14" customWidth="1" min="7" max="7"/>
    <col width="15" customWidth="1" min="8" max="8"/>
    <col width="18" customWidth="1" min="9" max="9"/>
    <col width="12" customWidth="1" min="10" max="10"/>
    <col width="15" customWidth="1" min="11" max="11"/>
    <col width="12" customWidth="1" min="12" max="12"/>
    <col width="21" customWidth="1" min="13" max="13"/>
    <col width="32" customWidth="1" min="14" max="14"/>
  </cols>
  <sheetData>
    <row r="1" ht="34" customHeight="1">
      <c r="A1" s="3" t="inlineStr">
        <is>
          <t>Track 02 | Batch Moderation</t>
        </is>
      </c>
    </row>
    <row r="2" ht="28" customHeight="1">
      <c r="A2" s="7" t="inlineStr">
        <is>
          <t>Rank within track, double-score likely selections/borderline cases, then cross-track moderate</t>
        </is>
      </c>
    </row>
    <row r="4">
      <c r="A4" s="37" t="inlineStr">
        <is>
          <t>Candidate ID</t>
        </is>
      </c>
      <c r="B4" s="37" t="inlineStr">
        <is>
          <t>Functional /25</t>
        </is>
      </c>
      <c r="C4" s="37" t="inlineStr">
        <is>
          <t>Engineering /25</t>
        </is>
      </c>
      <c r="D4" s="37" t="inlineStr">
        <is>
          <t>Testing /20</t>
        </is>
      </c>
      <c r="E4" s="37" t="inlineStr">
        <is>
          <t>Efficiency /10</t>
        </is>
      </c>
      <c r="F4" s="37" t="inlineStr">
        <is>
          <t>Live /20</t>
        </is>
      </c>
      <c r="G4" s="37" t="inlineStr">
        <is>
          <t>Total /100</t>
        </is>
      </c>
      <c r="H4" s="37" t="inlineStr">
        <is>
          <t>Eligibility</t>
        </is>
      </c>
      <c r="I4" s="37" t="inlineStr">
        <is>
          <t>Verified level</t>
        </is>
      </c>
      <c r="J4" s="37" t="inlineStr">
        <is>
          <t>Track rank</t>
        </is>
      </c>
      <c r="K4" s="37" t="inlineStr">
        <is>
          <t>2nd score total</t>
        </is>
      </c>
      <c r="L4" s="37" t="inlineStr">
        <is>
          <t>Difference</t>
        </is>
      </c>
      <c r="M4" s="37" t="inlineStr">
        <is>
          <t>Moderation status</t>
        </is>
      </c>
      <c r="N4" s="37" t="inlineStr">
        <is>
          <t>Decision / notes</t>
        </is>
      </c>
    </row>
    <row r="5" ht="30" customHeight="1">
      <c r="A5" s="48" t="str"/>
      <c r="B5" s="48" t="str"/>
      <c r="C5" s="48" t="str"/>
      <c r="D5" s="48" t="str"/>
      <c r="E5" s="48" t="str"/>
      <c r="F5" s="48" t="str"/>
      <c r="G5" s="59">
        <f>IF(B5="","",SUM(B5:F5))</f>
        <v/>
      </c>
      <c r="H5" s="48" t="str"/>
      <c r="I5" s="48" t="str"/>
      <c r="J5" s="59">
        <f>IF(G5="","",RANK.EQ(G5,$G$5:$G$29,0))</f>
        <v/>
      </c>
      <c r="K5" s="48" t="str"/>
      <c r="L5" s="59">
        <f>IF(OR(G5="",K5=""),"",ABS(G5-K5))</f>
        <v/>
      </c>
      <c r="M5" s="48" t="str"/>
      <c r="N5" s="48" t="str"/>
    </row>
    <row r="6" ht="30" customHeight="1">
      <c r="A6" s="48" t="str"/>
      <c r="B6" s="48" t="str"/>
      <c r="C6" s="48" t="str"/>
      <c r="D6" s="48" t="str"/>
      <c r="E6" s="48" t="str"/>
      <c r="F6" s="48" t="str"/>
      <c r="G6" s="59">
        <f>IF(B6="","",SUM(B6:F6))</f>
        <v/>
      </c>
      <c r="H6" s="48" t="str"/>
      <c r="I6" s="48" t="str"/>
      <c r="J6" s="59">
        <f>IF(G6="","",RANK.EQ(G6,$G$5:$G$29,0))</f>
        <v/>
      </c>
      <c r="K6" s="48" t="str"/>
      <c r="L6" s="59">
        <f>IF(OR(G6="",K6=""),"",ABS(G6-K6))</f>
        <v/>
      </c>
      <c r="M6" s="48" t="str"/>
      <c r="N6" s="48" t="str"/>
    </row>
    <row r="7" ht="30" customHeight="1">
      <c r="A7" s="48" t="str"/>
      <c r="B7" s="48" t="str"/>
      <c r="C7" s="48" t="str"/>
      <c r="D7" s="48" t="str"/>
      <c r="E7" s="48" t="str"/>
      <c r="F7" s="48" t="str"/>
      <c r="G7" s="59">
        <f>IF(B7="","",SUM(B7:F7))</f>
        <v/>
      </c>
      <c r="H7" s="48" t="str"/>
      <c r="I7" s="48" t="str"/>
      <c r="J7" s="59">
        <f>IF(G7="","",RANK.EQ(G7,$G$5:$G$29,0))</f>
        <v/>
      </c>
      <c r="K7" s="48" t="str"/>
      <c r="L7" s="59">
        <f>IF(OR(G7="",K7=""),"",ABS(G7-K7))</f>
        <v/>
      </c>
      <c r="M7" s="48" t="str"/>
      <c r="N7" s="48" t="str"/>
    </row>
    <row r="8" ht="30" customHeight="1">
      <c r="A8" s="48" t="str"/>
      <c r="B8" s="48" t="str"/>
      <c r="C8" s="48" t="str"/>
      <c r="D8" s="48" t="str"/>
      <c r="E8" s="48" t="str"/>
      <c r="F8" s="48" t="str"/>
      <c r="G8" s="59">
        <f>IF(B8="","",SUM(B8:F8))</f>
        <v/>
      </c>
      <c r="H8" s="48" t="str"/>
      <c r="I8" s="48" t="str"/>
      <c r="J8" s="59">
        <f>IF(G8="","",RANK.EQ(G8,$G$5:$G$29,0))</f>
        <v/>
      </c>
      <c r="K8" s="48" t="str"/>
      <c r="L8" s="59">
        <f>IF(OR(G8="",K8=""),"",ABS(G8-K8))</f>
        <v/>
      </c>
      <c r="M8" s="48" t="str"/>
      <c r="N8" s="48" t="str"/>
    </row>
    <row r="9" ht="30" customHeight="1">
      <c r="A9" s="48" t="str"/>
      <c r="B9" s="48" t="str"/>
      <c r="C9" s="48" t="str"/>
      <c r="D9" s="48" t="str"/>
      <c r="E9" s="48" t="str"/>
      <c r="F9" s="48" t="str"/>
      <c r="G9" s="59">
        <f>IF(B9="","",SUM(B9:F9))</f>
        <v/>
      </c>
      <c r="H9" s="48" t="str"/>
      <c r="I9" s="48" t="str"/>
      <c r="J9" s="59">
        <f>IF(G9="","",RANK.EQ(G9,$G$5:$G$29,0))</f>
        <v/>
      </c>
      <c r="K9" s="48" t="str"/>
      <c r="L9" s="59">
        <f>IF(OR(G9="",K9=""),"",ABS(G9-K9))</f>
        <v/>
      </c>
      <c r="M9" s="48" t="str"/>
      <c r="N9" s="48" t="str"/>
    </row>
    <row r="10" ht="30" customHeight="1">
      <c r="A10" s="48" t="str"/>
      <c r="B10" s="48" t="str"/>
      <c r="C10" s="48" t="str"/>
      <c r="D10" s="48" t="str"/>
      <c r="E10" s="48" t="str"/>
      <c r="F10" s="48" t="str"/>
      <c r="G10" s="59">
        <f>IF(B10="","",SUM(B10:F10))</f>
        <v/>
      </c>
      <c r="H10" s="48" t="str"/>
      <c r="I10" s="48" t="str"/>
      <c r="J10" s="59">
        <f>IF(G10="","",RANK.EQ(G10,$G$5:$G$29,0))</f>
        <v/>
      </c>
      <c r="K10" s="48" t="str"/>
      <c r="L10" s="59">
        <f>IF(OR(G10="",K10=""),"",ABS(G10-K10))</f>
        <v/>
      </c>
      <c r="M10" s="48" t="str"/>
      <c r="N10" s="48" t="str"/>
    </row>
    <row r="11" ht="30" customHeight="1">
      <c r="A11" s="48" t="str"/>
      <c r="B11" s="48" t="str"/>
      <c r="C11" s="48" t="str"/>
      <c r="D11" s="48" t="str"/>
      <c r="E11" s="48" t="str"/>
      <c r="F11" s="48" t="str"/>
      <c r="G11" s="59">
        <f>IF(B11="","",SUM(B11:F11))</f>
        <v/>
      </c>
      <c r="H11" s="48" t="str"/>
      <c r="I11" s="48" t="str"/>
      <c r="J11" s="59">
        <f>IF(G11="","",RANK.EQ(G11,$G$5:$G$29,0))</f>
        <v/>
      </c>
      <c r="K11" s="48" t="str"/>
      <c r="L11" s="59">
        <f>IF(OR(G11="",K11=""),"",ABS(G11-K11))</f>
        <v/>
      </c>
      <c r="M11" s="48" t="str"/>
      <c r="N11" s="48" t="str"/>
    </row>
    <row r="12" ht="30" customHeight="1">
      <c r="A12" s="48" t="str"/>
      <c r="B12" s="48" t="str"/>
      <c r="C12" s="48" t="str"/>
      <c r="D12" s="48" t="str"/>
      <c r="E12" s="48" t="str"/>
      <c r="F12" s="48" t="str"/>
      <c r="G12" s="59">
        <f>IF(B12="","",SUM(B12:F12))</f>
        <v/>
      </c>
      <c r="H12" s="48" t="str"/>
      <c r="I12" s="48" t="str"/>
      <c r="J12" s="59">
        <f>IF(G12="","",RANK.EQ(G12,$G$5:$G$29,0))</f>
        <v/>
      </c>
      <c r="K12" s="48" t="str"/>
      <c r="L12" s="59">
        <f>IF(OR(G12="",K12=""),"",ABS(G12-K12))</f>
        <v/>
      </c>
      <c r="M12" s="48" t="str"/>
      <c r="N12" s="48" t="str"/>
    </row>
    <row r="13" ht="30" customHeight="1">
      <c r="A13" s="48" t="str"/>
      <c r="B13" s="48" t="str"/>
      <c r="C13" s="48" t="str"/>
      <c r="D13" s="48" t="str"/>
      <c r="E13" s="48" t="str"/>
      <c r="F13" s="48" t="str"/>
      <c r="G13" s="59">
        <f>IF(B13="","",SUM(B13:F13))</f>
        <v/>
      </c>
      <c r="H13" s="48" t="str"/>
      <c r="I13" s="48" t="str"/>
      <c r="J13" s="59">
        <f>IF(G13="","",RANK.EQ(G13,$G$5:$G$29,0))</f>
        <v/>
      </c>
      <c r="K13" s="48" t="str"/>
      <c r="L13" s="59">
        <f>IF(OR(G13="",K13=""),"",ABS(G13-K13))</f>
        <v/>
      </c>
      <c r="M13" s="48" t="str"/>
      <c r="N13" s="48" t="str"/>
    </row>
    <row r="14" ht="30" customHeight="1">
      <c r="A14" s="48" t="str"/>
      <c r="B14" s="48" t="str"/>
      <c r="C14" s="48" t="str"/>
      <c r="D14" s="48" t="str"/>
      <c r="E14" s="48" t="str"/>
      <c r="F14" s="48" t="str"/>
      <c r="G14" s="59">
        <f>IF(B14="","",SUM(B14:F14))</f>
        <v/>
      </c>
      <c r="H14" s="48" t="str"/>
      <c r="I14" s="48" t="str"/>
      <c r="J14" s="59">
        <f>IF(G14="","",RANK.EQ(G14,$G$5:$G$29,0))</f>
        <v/>
      </c>
      <c r="K14" s="48" t="str"/>
      <c r="L14" s="59">
        <f>IF(OR(G14="",K14=""),"",ABS(G14-K14))</f>
        <v/>
      </c>
      <c r="M14" s="48" t="str"/>
      <c r="N14" s="48" t="str"/>
    </row>
    <row r="15" ht="30" customHeight="1">
      <c r="A15" s="48" t="str"/>
      <c r="B15" s="48" t="str"/>
      <c r="C15" s="48" t="str"/>
      <c r="D15" s="48" t="str"/>
      <c r="E15" s="48" t="str"/>
      <c r="F15" s="48" t="str"/>
      <c r="G15" s="59">
        <f>IF(B15="","",SUM(B15:F15))</f>
        <v/>
      </c>
      <c r="H15" s="48" t="str"/>
      <c r="I15" s="48" t="str"/>
      <c r="J15" s="59">
        <f>IF(G15="","",RANK.EQ(G15,$G$5:$G$29,0))</f>
        <v/>
      </c>
      <c r="K15" s="48" t="str"/>
      <c r="L15" s="59">
        <f>IF(OR(G15="",K15=""),"",ABS(G15-K15))</f>
        <v/>
      </c>
      <c r="M15" s="48" t="str"/>
      <c r="N15" s="48" t="str"/>
    </row>
    <row r="16" ht="30" customHeight="1">
      <c r="A16" s="48" t="str"/>
      <c r="B16" s="48" t="str"/>
      <c r="C16" s="48" t="str"/>
      <c r="D16" s="48" t="str"/>
      <c r="E16" s="48" t="str"/>
      <c r="F16" s="48" t="str"/>
      <c r="G16" s="59">
        <f>IF(B16="","",SUM(B16:F16))</f>
        <v/>
      </c>
      <c r="H16" s="48" t="str"/>
      <c r="I16" s="48" t="str"/>
      <c r="J16" s="59">
        <f>IF(G16="","",RANK.EQ(G16,$G$5:$G$29,0))</f>
        <v/>
      </c>
      <c r="K16" s="48" t="str"/>
      <c r="L16" s="59">
        <f>IF(OR(G16="",K16=""),"",ABS(G16-K16))</f>
        <v/>
      </c>
      <c r="M16" s="48" t="str"/>
      <c r="N16" s="48" t="str"/>
    </row>
    <row r="17" ht="30" customHeight="1">
      <c r="A17" s="48" t="str"/>
      <c r="B17" s="48" t="str"/>
      <c r="C17" s="48" t="str"/>
      <c r="D17" s="48" t="str"/>
      <c r="E17" s="48" t="str"/>
      <c r="F17" s="48" t="str"/>
      <c r="G17" s="59">
        <f>IF(B17="","",SUM(B17:F17))</f>
        <v/>
      </c>
      <c r="H17" s="48" t="str"/>
      <c r="I17" s="48" t="str"/>
      <c r="J17" s="59">
        <f>IF(G17="","",RANK.EQ(G17,$G$5:$G$29,0))</f>
        <v/>
      </c>
      <c r="K17" s="48" t="str"/>
      <c r="L17" s="59">
        <f>IF(OR(G17="",K17=""),"",ABS(G17-K17))</f>
        <v/>
      </c>
      <c r="M17" s="48" t="str"/>
      <c r="N17" s="48" t="str"/>
    </row>
    <row r="18" ht="30" customHeight="1">
      <c r="A18" s="48" t="str"/>
      <c r="B18" s="48" t="str"/>
      <c r="C18" s="48" t="str"/>
      <c r="D18" s="48" t="str"/>
      <c r="E18" s="48" t="str"/>
      <c r="F18" s="48" t="str"/>
      <c r="G18" s="59">
        <f>IF(B18="","",SUM(B18:F18))</f>
        <v/>
      </c>
      <c r="H18" s="48" t="str"/>
      <c r="I18" s="48" t="str"/>
      <c r="J18" s="59">
        <f>IF(G18="","",RANK.EQ(G18,$G$5:$G$29,0))</f>
        <v/>
      </c>
      <c r="K18" s="48" t="str"/>
      <c r="L18" s="59">
        <f>IF(OR(G18="",K18=""),"",ABS(G18-K18))</f>
        <v/>
      </c>
      <c r="M18" s="48" t="str"/>
      <c r="N18" s="48" t="str"/>
    </row>
    <row r="19" ht="30" customHeight="1">
      <c r="A19" s="48" t="str"/>
      <c r="B19" s="48" t="str"/>
      <c r="C19" s="48" t="str"/>
      <c r="D19" s="48" t="str"/>
      <c r="E19" s="48" t="str"/>
      <c r="F19" s="48" t="str"/>
      <c r="G19" s="59">
        <f>IF(B19="","",SUM(B19:F19))</f>
        <v/>
      </c>
      <c r="H19" s="48" t="str"/>
      <c r="I19" s="48" t="str"/>
      <c r="J19" s="59">
        <f>IF(G19="","",RANK.EQ(G19,$G$5:$G$29,0))</f>
        <v/>
      </c>
      <c r="K19" s="48" t="str"/>
      <c r="L19" s="59">
        <f>IF(OR(G19="",K19=""),"",ABS(G19-K19))</f>
        <v/>
      </c>
      <c r="M19" s="48" t="str"/>
      <c r="N19" s="48" t="str"/>
    </row>
    <row r="20" ht="30" customHeight="1">
      <c r="A20" s="48" t="str"/>
      <c r="B20" s="48" t="str"/>
      <c r="C20" s="48" t="str"/>
      <c r="D20" s="48" t="str"/>
      <c r="E20" s="48" t="str"/>
      <c r="F20" s="48" t="str"/>
      <c r="G20" s="59">
        <f>IF(B20="","",SUM(B20:F20))</f>
        <v/>
      </c>
      <c r="H20" s="48" t="str"/>
      <c r="I20" s="48" t="str"/>
      <c r="J20" s="59">
        <f>IF(G20="","",RANK.EQ(G20,$G$5:$G$29,0))</f>
        <v/>
      </c>
      <c r="K20" s="48" t="str"/>
      <c r="L20" s="59">
        <f>IF(OR(G20="",K20=""),"",ABS(G20-K20))</f>
        <v/>
      </c>
      <c r="M20" s="48" t="str"/>
      <c r="N20" s="48" t="str"/>
    </row>
    <row r="21" ht="30" customHeight="1">
      <c r="A21" s="48" t="str"/>
      <c r="B21" s="48" t="str"/>
      <c r="C21" s="48" t="str"/>
      <c r="D21" s="48" t="str"/>
      <c r="E21" s="48" t="str"/>
      <c r="F21" s="48" t="str"/>
      <c r="G21" s="59">
        <f>IF(B21="","",SUM(B21:F21))</f>
        <v/>
      </c>
      <c r="H21" s="48" t="str"/>
      <c r="I21" s="48" t="str"/>
      <c r="J21" s="59">
        <f>IF(G21="","",RANK.EQ(G21,$G$5:$G$29,0))</f>
        <v/>
      </c>
      <c r="K21" s="48" t="str"/>
      <c r="L21" s="59">
        <f>IF(OR(G21="",K21=""),"",ABS(G21-K21))</f>
        <v/>
      </c>
      <c r="M21" s="48" t="str"/>
      <c r="N21" s="48" t="str"/>
    </row>
    <row r="22" ht="30" customHeight="1">
      <c r="A22" s="48" t="str"/>
      <c r="B22" s="48" t="str"/>
      <c r="C22" s="48" t="str"/>
      <c r="D22" s="48" t="str"/>
      <c r="E22" s="48" t="str"/>
      <c r="F22" s="48" t="str"/>
      <c r="G22" s="59">
        <f>IF(B22="","",SUM(B22:F22))</f>
        <v/>
      </c>
      <c r="H22" s="48" t="str"/>
      <c r="I22" s="48" t="str"/>
      <c r="J22" s="59">
        <f>IF(G22="","",RANK.EQ(G22,$G$5:$G$29,0))</f>
        <v/>
      </c>
      <c r="K22" s="48" t="str"/>
      <c r="L22" s="59">
        <f>IF(OR(G22="",K22=""),"",ABS(G22-K22))</f>
        <v/>
      </c>
      <c r="M22" s="48" t="str"/>
      <c r="N22" s="48" t="str"/>
    </row>
    <row r="23" ht="30" customHeight="1">
      <c r="A23" s="48" t="str"/>
      <c r="B23" s="48" t="str"/>
      <c r="C23" s="48" t="str"/>
      <c r="D23" s="48" t="str"/>
      <c r="E23" s="48" t="str"/>
      <c r="F23" s="48" t="str"/>
      <c r="G23" s="59">
        <f>IF(B23="","",SUM(B23:F23))</f>
        <v/>
      </c>
      <c r="H23" s="48" t="str"/>
      <c r="I23" s="48" t="str"/>
      <c r="J23" s="59">
        <f>IF(G23="","",RANK.EQ(G23,$G$5:$G$29,0))</f>
        <v/>
      </c>
      <c r="K23" s="48" t="str"/>
      <c r="L23" s="59">
        <f>IF(OR(G23="",K23=""),"",ABS(G23-K23))</f>
        <v/>
      </c>
      <c r="M23" s="48" t="str"/>
      <c r="N23" s="48" t="str"/>
    </row>
    <row r="24" ht="30" customHeight="1">
      <c r="A24" s="48" t="str"/>
      <c r="B24" s="48" t="str"/>
      <c r="C24" s="48" t="str"/>
      <c r="D24" s="48" t="str"/>
      <c r="E24" s="48" t="str"/>
      <c r="F24" s="48" t="str"/>
      <c r="G24" s="59">
        <f>IF(B24="","",SUM(B24:F24))</f>
        <v/>
      </c>
      <c r="H24" s="48" t="str"/>
      <c r="I24" s="48" t="str"/>
      <c r="J24" s="59">
        <f>IF(G24="","",RANK.EQ(G24,$G$5:$G$29,0))</f>
        <v/>
      </c>
      <c r="K24" s="48" t="str"/>
      <c r="L24" s="59">
        <f>IF(OR(G24="",K24=""),"",ABS(G24-K24))</f>
        <v/>
      </c>
      <c r="M24" s="48" t="str"/>
      <c r="N24" s="48" t="str"/>
    </row>
    <row r="25" ht="30" customHeight="1">
      <c r="A25" s="48" t="str"/>
      <c r="B25" s="48" t="str"/>
      <c r="C25" s="48" t="str"/>
      <c r="D25" s="48" t="str"/>
      <c r="E25" s="48" t="str"/>
      <c r="F25" s="48" t="str"/>
      <c r="G25" s="59">
        <f>IF(B25="","",SUM(B25:F25))</f>
        <v/>
      </c>
      <c r="H25" s="48" t="str"/>
      <c r="I25" s="48" t="str"/>
      <c r="J25" s="59">
        <f>IF(G25="","",RANK.EQ(G25,$G$5:$G$29,0))</f>
        <v/>
      </c>
      <c r="K25" s="48" t="str"/>
      <c r="L25" s="59">
        <f>IF(OR(G25="",K25=""),"",ABS(G25-K25))</f>
        <v/>
      </c>
      <c r="M25" s="48" t="str"/>
      <c r="N25" s="48" t="str"/>
    </row>
    <row r="26" ht="30" customHeight="1">
      <c r="A26" s="48" t="str"/>
      <c r="B26" s="48" t="str"/>
      <c r="C26" s="48" t="str"/>
      <c r="D26" s="48" t="str"/>
      <c r="E26" s="48" t="str"/>
      <c r="F26" s="48" t="str"/>
      <c r="G26" s="59">
        <f>IF(B26="","",SUM(B26:F26))</f>
        <v/>
      </c>
      <c r="H26" s="48" t="str"/>
      <c r="I26" s="48" t="str"/>
      <c r="J26" s="59">
        <f>IF(G26="","",RANK.EQ(G26,$G$5:$G$29,0))</f>
        <v/>
      </c>
      <c r="K26" s="48" t="str"/>
      <c r="L26" s="59">
        <f>IF(OR(G26="",K26=""),"",ABS(G26-K26))</f>
        <v/>
      </c>
      <c r="M26" s="48" t="str"/>
      <c r="N26" s="48" t="str"/>
    </row>
    <row r="27" ht="30" customHeight="1">
      <c r="A27" s="48" t="str"/>
      <c r="B27" s="48" t="str"/>
      <c r="C27" s="48" t="str"/>
      <c r="D27" s="48" t="str"/>
      <c r="E27" s="48" t="str"/>
      <c r="F27" s="48" t="str"/>
      <c r="G27" s="59">
        <f>IF(B27="","",SUM(B27:F27))</f>
        <v/>
      </c>
      <c r="H27" s="48" t="str"/>
      <c r="I27" s="48" t="str"/>
      <c r="J27" s="59">
        <f>IF(G27="","",RANK.EQ(G27,$G$5:$G$29,0))</f>
        <v/>
      </c>
      <c r="K27" s="48" t="str"/>
      <c r="L27" s="59">
        <f>IF(OR(G27="",K27=""),"",ABS(G27-K27))</f>
        <v/>
      </c>
      <c r="M27" s="48" t="str"/>
      <c r="N27" s="48" t="str"/>
    </row>
    <row r="28" ht="30" customHeight="1">
      <c r="A28" s="48" t="str"/>
      <c r="B28" s="48" t="str"/>
      <c r="C28" s="48" t="str"/>
      <c r="D28" s="48" t="str"/>
      <c r="E28" s="48" t="str"/>
      <c r="F28" s="48" t="str"/>
      <c r="G28" s="59">
        <f>IF(B28="","",SUM(B28:F28))</f>
        <v/>
      </c>
      <c r="H28" s="48" t="str"/>
      <c r="I28" s="48" t="str"/>
      <c r="J28" s="59">
        <f>IF(G28="","",RANK.EQ(G28,$G$5:$G$29,0))</f>
        <v/>
      </c>
      <c r="K28" s="48" t="str"/>
      <c r="L28" s="59">
        <f>IF(OR(G28="",K28=""),"",ABS(G28-K28))</f>
        <v/>
      </c>
      <c r="M28" s="48" t="str"/>
      <c r="N28" s="48" t="str"/>
    </row>
    <row r="29" ht="30" customHeight="1">
      <c r="A29" s="48" t="str"/>
      <c r="B29" s="48" t="str"/>
      <c r="C29" s="48" t="str"/>
      <c r="D29" s="48" t="str"/>
      <c r="E29" s="48" t="str"/>
      <c r="F29" s="48" t="str"/>
      <c r="G29" s="59">
        <f>IF(B29="","",SUM(B29:F29))</f>
        <v/>
      </c>
      <c r="H29" s="48" t="str"/>
      <c r="I29" s="48" t="str"/>
      <c r="J29" s="59">
        <f>IF(G29="","",RANK.EQ(G29,$G$5:$G$29,0))</f>
        <v/>
      </c>
      <c r="K29" s="48" t="str"/>
      <c r="L29" s="59">
        <f>IF(OR(G29="",K29=""),"",ABS(G29-K29))</f>
        <v/>
      </c>
      <c r="M29" s="48" t="str"/>
      <c r="N29" s="48" t="str"/>
    </row>
    <row r="31" ht="23" customHeight="1">
      <c r="A31" s="10" t="inlineStr">
        <is>
          <t>Moderation Controls</t>
        </is>
      </c>
    </row>
    <row r="32">
      <c r="A32" s="37" t="inlineStr">
        <is>
          <t>Control</t>
        </is>
      </c>
      <c r="B32" s="37" t="inlineStr">
        <is>
          <t>Required action</t>
        </is>
      </c>
      <c r="C32" s="70" t="n"/>
      <c r="D32" s="70" t="n"/>
      <c r="E32" s="70" t="n"/>
      <c r="F32" s="70" t="n"/>
      <c r="G32" s="70" t="n"/>
      <c r="H32" s="70" t="n"/>
      <c r="I32" s="70" t="n"/>
      <c r="J32" s="70" t="n"/>
      <c r="K32" s="70" t="n"/>
      <c r="L32" s="70" t="n"/>
      <c r="M32" s="70" t="n"/>
      <c r="N32" s="71" t="n"/>
    </row>
    <row r="33" ht="34" customHeight="1">
      <c r="A33" s="69" t="inlineStr">
        <is>
          <t>Anchor calibration</t>
        </is>
      </c>
      <c r="B33" s="34" t="inlineStr">
        <is>
          <t>Two anchor submissions scored before final marking</t>
        </is>
      </c>
      <c r="C33" s="70" t="n"/>
      <c r="D33" s="70" t="n"/>
      <c r="E33" s="70" t="n"/>
      <c r="F33" s="70" t="n"/>
      <c r="G33" s="70" t="n"/>
      <c r="H33" s="70" t="n"/>
      <c r="I33" s="70" t="n"/>
      <c r="J33" s="70" t="n"/>
      <c r="K33" s="70" t="n"/>
      <c r="L33" s="70" t="n"/>
      <c r="M33" s="70" t="n"/>
      <c r="N33" s="71" t="n"/>
    </row>
    <row r="34" ht="34" customHeight="1">
      <c r="A34" s="69" t="inlineStr">
        <is>
          <t>Double scoring</t>
        </is>
      </c>
      <c r="B34" s="34" t="inlineStr">
        <is>
          <t>All likely selections, within 5 of cutoff, &gt;5 disagreement, and at least 20% of track</t>
        </is>
      </c>
      <c r="C34" s="70" t="n"/>
      <c r="D34" s="70" t="n"/>
      <c r="E34" s="70" t="n"/>
      <c r="F34" s="70" t="n"/>
      <c r="G34" s="70" t="n"/>
      <c r="H34" s="70" t="n"/>
      <c r="I34" s="70" t="n"/>
      <c r="J34" s="70" t="n"/>
      <c r="K34" s="70" t="n"/>
      <c r="L34" s="70" t="n"/>
      <c r="M34" s="70" t="n"/>
      <c r="N34" s="71" t="n"/>
    </row>
    <row r="35" ht="34" customHeight="1">
      <c r="A35" s="69" t="inlineStr">
        <is>
          <t>Cross-track moderation</t>
        </is>
      </c>
      <c r="B35" s="34" t="inlineStr">
        <is>
          <t>Compare difficulty and evaluator severity after ranking within track</t>
        </is>
      </c>
      <c r="C35" s="70" t="n"/>
      <c r="D35" s="70" t="n"/>
      <c r="E35" s="70" t="n"/>
      <c r="F35" s="70" t="n"/>
      <c r="G35" s="70" t="n"/>
      <c r="H35" s="70" t="n"/>
      <c r="I35" s="70" t="n"/>
      <c r="J35" s="70" t="n"/>
      <c r="K35" s="70" t="n"/>
      <c r="L35" s="70" t="n"/>
      <c r="M35" s="70" t="n"/>
      <c r="N35" s="71" t="n"/>
    </row>
    <row r="36" ht="34" customHeight="1">
      <c r="A36" s="69" t="inlineStr">
        <is>
          <t>Tie-break order</t>
        </is>
      </c>
      <c r="B36" s="34" t="inlineStr">
        <is>
          <t>Live ownership, engineering, testing, functional quality, efficiency/licensing/product</t>
        </is>
      </c>
      <c r="C36" s="70" t="n"/>
      <c r="D36" s="70" t="n"/>
      <c r="E36" s="70" t="n"/>
      <c r="F36" s="70" t="n"/>
      <c r="G36" s="70" t="n"/>
      <c r="H36" s="70" t="n"/>
      <c r="I36" s="70" t="n"/>
      <c r="J36" s="70" t="n"/>
      <c r="K36" s="70" t="n"/>
      <c r="L36" s="70" t="n"/>
      <c r="M36" s="70" t="n"/>
      <c r="N36" s="71" t="n"/>
    </row>
  </sheetData>
  <mergeCells count="8">
    <mergeCell ref="B36:N36"/>
    <mergeCell ref="A31:N31"/>
    <mergeCell ref="B32:N32"/>
    <mergeCell ref="B35:N35"/>
    <mergeCell ref="A2:N2"/>
    <mergeCell ref="B33:N33"/>
    <mergeCell ref="B34:N34"/>
    <mergeCell ref="A1:N1"/>
  </mergeCells>
  <dataValidations count="3">
    <dataValidation sqref="H5:H29" showDropDown="0" showInputMessage="0" showErrorMessage="0" allowBlank="0" type="list">
      <formula1>"ELIGIBLE,INELIGIBLE,PENDING"</formula1>
    </dataValidation>
    <dataValidation sqref="I5:I29" showDropDown="0" showInputMessage="0" showErrorMessage="0" allowBlank="0" type="list">
      <formula1>"BELOW BASELINE,BASELINE,STRONG,EXCEPTIONAL"</formula1>
    </dataValidation>
    <dataValidation sqref="M5:M29" showDropDown="0" showInputMessage="0" showErrorMessage="0" allowBlank="0" type="list">
      <formula1>"Not required,Required,Completed,Disagreement review"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2026-09-11T17:31:11Z</dcterms:created>
  <dcterms:modified xsi:type="dcterms:W3CDTF">2026-09-11T17:31:12Z</dcterms:modified>
</cp:coreProperties>
</file>