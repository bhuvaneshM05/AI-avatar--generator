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8557bae1e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656cd9a3ef2e45d9"/>
    <x:sheet xmlns:r="http://schemas.openxmlformats.org/officeDocument/2006/relationships" name="01_DELIVERABLES" sheetId="2" r:id="Rf71082ec499243a2"/>
    <x:sheet xmlns:r="http://schemas.openxmlformats.org/officeDocument/2006/relationships" name="02_COMPONENTS" sheetId="3" r:id="Rddb43965ed2f432d"/>
    <x:sheet xmlns:r="http://schemas.openxmlformats.org/officeDocument/2006/relationships" name="03_TEST_EVIDENCE" sheetId="4" r:id="R6be26a4c04f549e5"/>
    <x:sheet xmlns:r="http://schemas.openxmlformats.org/officeDocument/2006/relationships" name="04_TRACK_CRITERIA" sheetId="5" r:id="R7ceab85390e14702"/>
    <x:sheet xmlns:r="http://schemas.openxmlformats.org/officeDocument/2006/relationships" name="05_REVIEW_RESULT" sheetId="6" r:id="R3b2250835abb4a65"/>
    <x:sheet xmlns:r="http://schemas.openxmlformats.org/officeDocument/2006/relationships" name="06_LIVE_VALIDATION" sheetId="7" r:id="R5c999264d69f43c1"/>
    <x:sheet xmlns:r="http://schemas.openxmlformats.org/officeDocument/2006/relationships" name="07_BATCH_MODERATION" sheetId="8" r:id="Ree09c573df99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00"/>
  </x:numFmts>
  <x:fonts count="7">
    <x:font>
      <x:sz val="11"/>
      <x:name val="Carlito"/>
    </x:font>
    <x:font>
      <x:b/>
      <x:sz val="17"/>
      <x:color rgb="FFFFFFFF"/>
      <x:name val="Carlito"/>
    </x:font>
    <x:font>
      <x:i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4212B"/>
      <x:name val="Carlito"/>
    </x:font>
    <x:font>
      <x:sz val="9"/>
      <x:color rgb="FF14212B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B2B"/>
      </x:patternFill>
    </x:fill>
    <x:fill>
      <x:patternFill patternType="solid">
        <x:fgColor rgb="FF008F8A"/>
      </x:patternFill>
    </x:fill>
    <x:fill>
      <x:patternFill patternType="solid">
        <x:fgColor rgb="FF12324D"/>
      </x:patternFill>
    </x:fill>
    <x:fill>
      <x:patternFill patternType="solid">
        <x:fgColor rgb="FFF3F5F7"/>
      </x:patternFill>
    </x:fill>
    <x:fill>
      <x:patternFill patternType="solid">
        <x:fgColor rgb="FFFFF4C7"/>
      </x:patternFill>
    </x:fill>
    <x:fill>
      <x:patternFill patternType="solid">
        <x:fgColor rgb="FFE7F5F3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FCE8E6"/>
      </x:patternFill>
    </x:fill>
  </x:fills>
  <x:borders count="2">
    <x:border/>
    <x:border>
      <x:left style="thin">
        <x:color rgb="FFD7E0E6"/>
      </x:left>
      <x:right style="thin">
        <x:color rgb="FFD7E0E6"/>
      </x:right>
      <x:top style="thin">
        <x:color rgb="FFD7E0E6"/>
      </x:top>
      <x:bottom style="thin">
        <x:color rgb="FFD7E0E6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top" wrapText="1"/>
    </x:xf>
    <x:xf numFmtId="200" fontId="5" fillId="6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vertical="top" wrapText="1"/>
    </x:xf>
    <x:xf numFmtId="201" fontId="5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202" fontId="5" fillId="6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3f07c43bb40b7" /><Relationship Type="http://schemas.openxmlformats.org/officeDocument/2006/relationships/theme" Target="/xl/theme/theme1.xml" Id="R447a65c179e54427" /><Relationship Type="http://schemas.openxmlformats.org/officeDocument/2006/relationships/sharedStrings" Target="/xl/sharedStrings.xml" Id="R72559f7e270b48fb" /><Relationship Type="http://schemas.openxmlformats.org/officeDocument/2006/relationships/worksheet" Target="/xl/worksheets/sheet1.xml" Id="R656cd9a3ef2e45d9" /><Relationship Type="http://schemas.openxmlformats.org/officeDocument/2006/relationships/worksheet" Target="/xl/worksheets/sheet2.xml" Id="Rf71082ec499243a2" /><Relationship Type="http://schemas.openxmlformats.org/officeDocument/2006/relationships/worksheet" Target="/xl/worksheets/sheet3.xml" Id="Rddb43965ed2f432d" /><Relationship Type="http://schemas.openxmlformats.org/officeDocument/2006/relationships/worksheet" Target="/xl/worksheets/sheet4.xml" Id="R6be26a4c04f549e5" /><Relationship Type="http://schemas.openxmlformats.org/officeDocument/2006/relationships/worksheet" Target="/xl/worksheets/sheet5.xml" Id="R7ceab85390e14702" /><Relationship Type="http://schemas.openxmlformats.org/officeDocument/2006/relationships/worksheet" Target="/xl/worksheets/sheet6.xml" Id="R3b2250835abb4a65" /><Relationship Type="http://schemas.openxmlformats.org/officeDocument/2006/relationships/worksheet" Target="/xl/worksheets/sheet7.xml" Id="R5c999264d69f43c1" /><Relationship Type="http://schemas.openxmlformats.org/officeDocument/2006/relationships/worksheet" Target="/xl/worksheets/sheet8.xml" Id="Ree09c573df9942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IncuBrix | Track 02 Assessment Workbook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Open-Source AI Human-Avatar Generation | Yellow = candidate | Blue = reviewer | Green = calculated</x:v>
      </x:c>
      <x:c r="B2" s="7"/>
      <x:c r="C2" s="7"/>
      <x:c r="D2" s="7"/>
      <x:c r="E2" s="7"/>
      <x:c r="F2" s="7"/>
      <x:c r="G2" s="7"/>
      <x:c r="H2" s="7"/>
    </x:row>
    <x:row r="4" ht="23" customHeight="1">
      <x:c r="A4" s="10" t="str">
        <x:v>Candidate and Submission Details</x:v>
      </x:c>
      <x:c r="B4" s="10" t="str">
        <x:v>Candidate and Submission Details</x:v>
      </x:c>
      <x:c r="C4" s="10" t="str">
        <x:v>Candidate and Submission Details</x:v>
      </x:c>
      <x:c r="D4" s="10" t="str">
        <x:v>Candidate and Submission Details</x:v>
      </x:c>
      <x:c r="E4" s="10" t="str">
        <x:v>Candidate and Submission Details</x:v>
      </x:c>
      <x:c r="F4" s="10" t="str">
        <x:v>Candidate and Submission Details</x:v>
      </x:c>
      <x:c r="G4" s="10" t="str">
        <x:v>Candidate and Submission Details</x:v>
      </x:c>
      <x:c r="H4" s="10" t="str">
        <x:v>Candidate and Submission Details</x:v>
      </x:c>
    </x:row>
    <x:row r="5">
      <x:c r="A5" s="14" t="str">
        <x:v>Candidate ID</x:v>
      </x:c>
      <x:c r="B5" s="19" t="str"/>
      <x:c r="C5" s="19" t="str"/>
      <x:c r="D5" s="19" t="str"/>
      <x:c r="E5" s="14" t="str">
        <x:v>Assigned track</x:v>
      </x:c>
      <x:c r="F5" s="24" t="str">
        <x:v>Track 02 - Human Avatar Generation</x:v>
      </x:c>
      <x:c r="G5" s="24" t="str"/>
      <x:c r="H5" s="24" t="str"/>
    </x:row>
    <x:row r="6">
      <x:c r="A6" s="14" t="str">
        <x:v>Candidate name</x:v>
      </x:c>
      <x:c r="B6" s="19" t="str"/>
      <x:c r="C6" s="19" t="str"/>
      <x:c r="D6" s="19" t="str"/>
      <x:c r="E6" s="14" t="str">
        <x:v>Candidate email</x:v>
      </x:c>
      <x:c r="F6" s="19" t="str"/>
      <x:c r="G6" s="19" t="str"/>
      <x:c r="H6" s="19" t="str"/>
    </x:row>
    <x:row r="7">
      <x:c r="A7" s="14" t="str">
        <x:v>Submission date</x:v>
      </x:c>
      <x:c r="B7" s="25" t="str"/>
      <x:c r="C7" s="25" t="str"/>
      <x:c r="D7" s="25" t="str"/>
      <x:c r="E7" s="14" t="str">
        <x:v>Repository URL</x:v>
      </x:c>
      <x:c r="F7" s="19" t="str"/>
      <x:c r="G7" s="19" t="str"/>
      <x:c r="H7" s="19" t="str"/>
    </x:row>
    <x:row r="8">
      <x:c r="A8" s="14" t="str">
        <x:v>CPU and core count</x:v>
      </x:c>
      <x:c r="B8" s="19" t="str"/>
      <x:c r="C8" s="19" t="str"/>
      <x:c r="D8" s="19" t="str"/>
      <x:c r="E8" s="14" t="str">
        <x:v>RAM (GB)</x:v>
      </x:c>
      <x:c r="F8" s="19" t="str"/>
      <x:c r="G8" s="19" t="str"/>
      <x:c r="H8" s="19" t="str"/>
    </x:row>
    <x:row r="9">
      <x:c r="A9" s="14" t="str">
        <x:v>Operating system</x:v>
      </x:c>
      <x:c r="B9" s="19" t="str"/>
      <x:c r="C9" s="19" t="str"/>
      <x:c r="D9" s="19" t="str"/>
      <x:c r="E9" s="14" t="str">
        <x:v>Python/runtime versions</x:v>
      </x:c>
      <x:c r="F9" s="19" t="str"/>
      <x:c r="G9" s="19" t="str"/>
      <x:c r="H9" s="19" t="str"/>
    </x:row>
    <x:row r="10">
      <x:c r="A10" s="14" t="str">
        <x:v>Approved free compute used?</x:v>
      </x:c>
      <x:c r="B10" s="19" t="str"/>
      <x:c r="C10" s="19" t="str"/>
      <x:c r="D10" s="19" t="str"/>
      <x:c r="E10" s="14" t="str">
        <x:v>Provider / runtime</x:v>
      </x:c>
      <x:c r="F10" s="19" t="str"/>
      <x:c r="G10" s="19" t="str"/>
      <x:c r="H10" s="19" t="str"/>
    </x:row>
    <x:row r="11">
      <x:c r="A11" s="14" t="str">
        <x:v>Report/demo folder URL</x:v>
      </x:c>
      <x:c r="B11" s="19" t="str"/>
      <x:c r="C11" s="19" t="str"/>
      <x:c r="D11" s="19" t="str"/>
      <x:c r="E11" s="14" t="str">
        <x:v>AI coding tools used</x:v>
      </x:c>
      <x:c r="F11" s="19" t="str"/>
      <x:c r="G11" s="19" t="str"/>
      <x:c r="H11" s="19" t="str"/>
    </x:row>
    <x:row r="13" ht="23" customHeight="1">
      <x:c r="A13" s="10" t="str">
        <x:v>Assessment Rules</x:v>
      </x:c>
      <x:c r="B13" s="10" t="str">
        <x:v>Assessment Rules</x:v>
      </x:c>
      <x:c r="C13" s="10" t="str">
        <x:v>Assessment Rules</x:v>
      </x:c>
      <x:c r="D13" s="10" t="str">
        <x:v>Assessment Rules</x:v>
      </x:c>
      <x:c r="E13" s="10" t="str">
        <x:v>Assessment Rules</x:v>
      </x:c>
      <x:c r="F13" s="10" t="str">
        <x:v>Assessment Rules</x:v>
      </x:c>
      <x:c r="G13" s="10" t="str">
        <x:v>Assessment Rules</x:v>
      </x:c>
      <x:c r="H13" s="10" t="str">
        <x:v>Assessment Rules</x:v>
      </x:c>
    </x:row>
    <x:row r="14" ht="36" customHeight="1">
      <x:c r="A14" s="29" t="n">
        <x:v>1</x:v>
      </x:c>
      <x:c r="B14" s="34" t="str">
        <x:v>Complete only this assigned track. Do not switch without written confirmation.</x:v>
      </x:c>
      <x:c r="C14" s="34"/>
      <x:c r="D14" s="34"/>
      <x:c r="E14" s="34"/>
      <x:c r="F14" s="34"/>
      <x:c r="G14" s="34"/>
      <x:c r="H14" s="34"/>
    </x:row>
    <x:row r="15" ht="36" customHeight="1">
      <x:c r="A15" s="29" t="n">
        <x:v>2</x:v>
      </x:c>
      <x:c r="B15" s="34" t="str">
        <x:v>Hybrid. The orchestration, safety checks, metadata, evaluation and tests must run locally on a non-GPU laptop. Image-model inference may run in a disclosed free accelerator notebook because realistic generation is generally impractical on typical CPUs. No candidate payment or card is permitted.</x:v>
      </x:c>
      <x:c r="C15" s="34"/>
      <x:c r="D15" s="34"/>
      <x:c r="E15" s="34"/>
      <x:c r="F15" s="34"/>
      <x:c r="G15" s="34"/>
      <x:c r="H15" s="34"/>
    </x:row>
    <x:row r="16" ht="36" customHeight="1">
      <x:c r="A16" s="29" t="n">
        <x:v>3</x:v>
      </x:c>
      <x:c r="B16" s="34" t="str">
        <x:v>Use open-source software and open/open-weight models as much as possible. Verify code, weights, data and media licences separately.</x:v>
      </x:c>
      <x:c r="C16" s="34"/>
      <x:c r="D16" s="34"/>
      <x:c r="E16" s="34"/>
      <x:c r="F16" s="34"/>
      <x:c r="G16" s="34"/>
      <x:c r="H16" s="34"/>
    </x:row>
    <x:row r="17" ht="36" customHeight="1">
      <x:c r="A17" s="29" t="n">
        <x:v>4</x:v>
      </x:c>
      <x:c r="B17" s="34" t="str">
        <x:v>No candidate payment, card, subscription, pay-as-you-go, commercial generation API or undisclosed hosted endpoint is permitted.</x:v>
      </x:c>
      <x:c r="C17" s="34"/>
      <x:c r="D17" s="34"/>
      <x:c r="E17" s="34"/>
      <x:c r="F17" s="34"/>
      <x:c r="G17" s="34"/>
      <x:c r="H17" s="34"/>
    </x:row>
    <x:row r="18" ht="36" customHeight="1">
      <x:c r="A18" s="29" t="n">
        <x:v>5</x:v>
      </x:c>
      <x:c r="B18" s="34" t="str">
        <x:v>Submit runnable code, tests, all outputs, measured resources, SOURCES.md, AI_USE.md, licence manifest, report and unedited demo.</x:v>
      </x:c>
      <x:c r="C18" s="34"/>
      <x:c r="D18" s="34"/>
      <x:c r="E18" s="34"/>
      <x:c r="F18" s="34"/>
      <x:c r="G18" s="34"/>
      <x:c r="H18" s="34"/>
    </x:row>
    <x:row r="19" ht="36" customHeight="1">
      <x:c r="A19" s="29" t="n">
        <x:v>6</x:v>
      </x:c>
      <x:c r="B19" s="34" t="str">
        <x:v>Use only owned, consented, public-domain or licensed voice, likeness, data and media. Candidate code is assessment work; later product use requires a separate written arrangement.</x:v>
      </x:c>
      <x:c r="C19" s="34"/>
      <x:c r="D19" s="34"/>
      <x:c r="E19" s="34"/>
      <x:c r="F19" s="34"/>
      <x:c r="G19" s="34"/>
      <x:c r="H19" s="34"/>
    </x:row>
    <x:row r="21" ht="23" customHeight="1">
      <x:c r="A21" s="10" t="str">
        <x:v>Scoring and Final Checklist</x:v>
      </x:c>
      <x:c r="B21" s="10" t="str">
        <x:v>Scoring and Final Checklist</x:v>
      </x:c>
      <x:c r="C21" s="10" t="str">
        <x:v>Scoring and Final Checklist</x:v>
      </x:c>
      <x:c r="D21" s="10" t="str">
        <x:v>Scoring and Final Checklist</x:v>
      </x:c>
      <x:c r="E21" s="10" t="str">
        <x:v>Scoring and Final Checklist</x:v>
      </x:c>
      <x:c r="F21" s="10" t="str">
        <x:v>Scoring and Final Checklist</x:v>
      </x:c>
      <x:c r="G21" s="10" t="str">
        <x:v>Scoring and Final Checklist</x:v>
      </x:c>
      <x:c r="H21" s="10" t="str">
        <x:v>Scoring and Final Checklist</x:v>
      </x:c>
    </x:row>
    <x:row r="22">
      <x:c r="A22" s="37" t="str">
        <x:v>Category</x:v>
      </x:c>
      <x:c r="B22" s="37" t="str">
        <x:v>Points</x:v>
      </x:c>
      <x:c r="C22" s="37" t="str">
        <x:v>Owner</x:v>
      </x:c>
      <x:c r="E22" s="37" t="str">
        <x:v>Candidate checklist</x:v>
      </x:c>
      <x:c r="F22" s="37" t="str">
        <x:v>Status</x:v>
      </x:c>
      <x:c r="G22" s="37" t="str">
        <x:v>Evidence / note</x:v>
      </x:c>
      <x:c r="H22" s="37" t="str"/>
    </x:row>
    <x:row r="23">
      <x:c r="A23" s="34" t="str">
        <x:v>Functional correctness and output quality</x:v>
      </x:c>
      <x:c r="B23" s="34" t="n">
        <x:v>25</x:v>
      </x:c>
      <x:c r="C23" s="34" t="str">
        <x:v>Evaluator</x:v>
      </x:c>
      <x:c r="E23" s="34" t="str">
        <x:v>Repository accessible</x:v>
      </x:c>
      <x:c r="F23" s="19" t="str"/>
      <x:c r="G23" s="19" t="str"/>
      <x:c r="H23" s="19" t="str"/>
    </x:row>
    <x:row r="24">
      <x:c r="A24" s="34" t="str">
        <x:v>Software engineering and architecture</x:v>
      </x:c>
      <x:c r="B24" s="34" t="n">
        <x:v>25</x:v>
      </x:c>
      <x:c r="C24" s="34" t="str">
        <x:v>Evaluator</x:v>
      </x:c>
      <x:c r="E24" s="34" t="str">
        <x:v>Clean setup/run path exercised</x:v>
      </x:c>
      <x:c r="F24" s="19" t="str"/>
      <x:c r="G24" s="19" t="str"/>
      <x:c r="H24" s="19" t="str"/>
    </x:row>
    <x:row r="25">
      <x:c r="A25" s="34" t="str">
        <x:v>Testing, evaluation and reproducibility</x:v>
      </x:c>
      <x:c r="B25" s="34" t="n">
        <x:v>20</x:v>
      </x:c>
      <x:c r="C25" s="34" t="str">
        <x:v>Evaluator</x:v>
      </x:c>
      <x:c r="E25" s="34" t="str">
        <x:v>Baseline evidence complete</x:v>
      </x:c>
      <x:c r="F25" s="19" t="str"/>
      <x:c r="G25" s="19" t="str"/>
      <x:c r="H25" s="19" t="str"/>
    </x:row>
    <x:row r="26">
      <x:c r="A26" s="34" t="str">
        <x:v>Efficiency, licensing and product fit</x:v>
      </x:c>
      <x:c r="B26" s="34" t="n">
        <x:v>10</x:v>
      </x:c>
      <x:c r="C26" s="34" t="str">
        <x:v>Evaluator</x:v>
      </x:c>
      <x:c r="E26" s="34" t="str">
        <x:v>Models/licences/rights disclosed</x:v>
      </x:c>
      <x:c r="F26" s="19" t="str"/>
      <x:c r="G26" s="19" t="str"/>
      <x:c r="H26" s="19" t="str"/>
    </x:row>
    <x:row r="27">
      <x:c r="A27" s="34" t="str">
        <x:v>Live validation, debugging and ownership</x:v>
      </x:c>
      <x:c r="B27" s="34" t="n">
        <x:v>20</x:v>
      </x:c>
      <x:c r="C27" s="34" t="str">
        <x:v>Evaluator</x:v>
      </x:c>
      <x:c r="E27" s="34" t="str">
        <x:v>All attempts and failures indexed</x:v>
      </x:c>
      <x:c r="F27" s="19" t="str"/>
      <x:c r="G27" s="19" t="str"/>
      <x:c r="H27" s="19" t="str"/>
    </x:row>
    <x:row r="28">
      <x:c r="A28" s="34" t="str">
        <x:v>Total</x:v>
      </x:c>
      <x:c r="B28" s="34" t="n">
        <x:v>100</x:v>
      </x:c>
      <x:c r="C28" s="34" t="str">
        <x:v>Calculated</x:v>
      </x:c>
      <x:c r="E28" s="34" t="str">
        <x:v>Tests and benchmark included</x:v>
      </x:c>
      <x:c r="F28" s="19" t="str"/>
      <x:c r="G28" s="19" t="str"/>
      <x:c r="H28" s="19" t="str"/>
    </x:row>
    <x:row r="29">
      <x:c r="E29" s="34" t="str">
        <x:v>Report, demo, SOURCES.md and AI_USE.md</x:v>
      </x:c>
      <x:c r="F29" s="19" t="str"/>
      <x:c r="G29" s="19" t="str"/>
      <x:c r="H29" s="19" t="str"/>
    </x:row>
    <x:row r="30">
      <x:c r="E30" s="34" t="str">
        <x:v>Free compute/no-payment rule disclosed</x:v>
      </x:c>
      <x:c r="F30" s="19" t="str"/>
      <x:c r="G30" s="19" t="str"/>
      <x:c r="H30" s="19" t="str"/>
    </x:row>
    <x:row r="32">
      <x:c r="A32" s="41" t="str">
        <x:v>Declaration: This is my individual work. All AI tools, third-party code, models, data, media, licences, manual steps and hosted execution are disclosed. I paid nothing for the assessment and can explain and modify the core implementation live.</x:v>
      </x:c>
      <x:c r="B32" s="41"/>
      <x:c r="C32" s="41"/>
      <x:c r="D32" s="41"/>
      <x:c r="E32" s="41"/>
      <x:c r="F32" s="41"/>
      <x:c r="G32" s="41"/>
      <x:c r="H32" s="41"/>
    </x:row>
    <x:row r="33">
      <x:c r="A33" s="41"/>
      <x:c r="B33" s="41"/>
      <x:c r="C33" s="41"/>
      <x:c r="D33" s="41"/>
      <x:c r="E33" s="41"/>
      <x:c r="F33" s="41"/>
      <x:c r="G33" s="41"/>
      <x:c r="H33" s="41"/>
    </x:row>
    <x:row r="34">
      <x:c r="A34" s="43" t="str">
        <x:v>Candidate name/signature</x:v>
      </x:c>
      <x:c r="B34" s="19" t="str"/>
      <x:c r="C34" s="19" t="str"/>
      <x:c r="D34" s="19" t="str"/>
      <x:c r="E34" s="43" t="str">
        <x:v>Date</x:v>
      </x:c>
      <x:c r="F34" s="19" t="str"/>
      <x:c r="G34" s="19" t="str"/>
      <x:c r="H34" s="19" t="str"/>
    </x:row>
  </x:sheetData>
  <x:mergeCells>
    <x:mergeCell ref="A1:H1"/>
    <x:mergeCell ref="A2:H2"/>
    <x:mergeCell ref="A4:H4"/>
    <x:mergeCell ref="B5:D5"/>
    <x:mergeCell ref="F5:H5"/>
    <x:mergeCell ref="B6:D6"/>
    <x:mergeCell ref="F6:H6"/>
    <x:mergeCell ref="B7:D7"/>
    <x:mergeCell ref="F7:H7"/>
    <x:mergeCell ref="B8:D8"/>
    <x:mergeCell ref="F8:H8"/>
    <x:mergeCell ref="B9:D9"/>
    <x:mergeCell ref="F9:H9"/>
    <x:mergeCell ref="B10:D10"/>
    <x:mergeCell ref="F10:H10"/>
    <x:mergeCell ref="B11:D11"/>
    <x:mergeCell ref="F11:H11"/>
    <x:mergeCell ref="A13:H13"/>
    <x:mergeCell ref="B14:H14"/>
    <x:mergeCell ref="B15:H15"/>
    <x:mergeCell ref="B16:H16"/>
    <x:mergeCell ref="B17:H17"/>
    <x:mergeCell ref="B18:H18"/>
    <x:mergeCell ref="B19:H19"/>
    <x:mergeCell ref="A21:H21"/>
    <x:mergeCell ref="G22:H22"/>
    <x:mergeCell ref="G23:H23"/>
    <x:mergeCell ref="G24:H24"/>
    <x:mergeCell ref="G25:H25"/>
    <x:mergeCell ref="G26:H26"/>
    <x:mergeCell ref="G27:H27"/>
    <x:mergeCell ref="G28:H28"/>
    <x:mergeCell ref="G29:H29"/>
    <x:mergeCell ref="G30:H30"/>
    <x:mergeCell ref="A32:H33"/>
    <x:mergeCell ref="B34:D34"/>
    <x:mergeCell ref="F34:H34"/>
  </x:mergeCells>
  <x:dataValidations count="2">
    <x:dataValidation type="list" sqref="B10:D10">
      <x:formula1>"No,Yes - free only,Blocked; IncuBrix support requested"</x:formula1>
    </x:dataValidation>
    <x:dataValidation type="list" sqref="F23:F30">
      <x:formula1>"Complete,Partial,Not 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18" hidden="0" customWidth="1"/>
    <x:col min="4" max="4" width="34" hidden="0" customWidth="1"/>
    <x:col min="5" max="5" width="28" hidden="0" customWidth="1"/>
    <x:col min="6" max="6" width="28" hidden="0" customWidth="1"/>
  </x:cols>
  <x:sheetData>
    <x:row r="1" ht="34" customHeight="1">
      <x:c r="A1" s="3" t="str">
        <x:v>Track 02 | Deliverables and Reproduction</x:v>
      </x:c>
      <x:c r="B1" s="3"/>
      <x:c r="C1" s="3"/>
      <x:c r="D1" s="3"/>
      <x:c r="E1" s="3"/>
      <x:c r="F1" s="3"/>
    </x:row>
    <x:row r="2" ht="28" customHeight="1">
      <x:c r="A2" s="7" t="str">
        <x:v>Enter working paths/URLs and exact commands; reviewer notes are blue</x:v>
      </x:c>
      <x:c r="B2" s="7"/>
      <x:c r="C2" s="7"/>
      <x:c r="D2" s="7"/>
      <x:c r="E2" s="7"/>
      <x:c r="F2" s="7"/>
    </x:row>
    <x:row r="4">
      <x:c r="A4" s="37" t="str">
        <x:v>No.</x:v>
      </x:c>
      <x:c r="B4" s="37" t="str">
        <x:v>Deliverable</x:v>
      </x:c>
      <x:c r="C4" s="37" t="str">
        <x:v>Candidate status</x:v>
      </x:c>
      <x:c r="D4" s="37" t="str">
        <x:v>Evidence / path / URL</x:v>
      </x:c>
      <x:c r="E4" s="37" t="str">
        <x:v>Candidate notes</x:v>
      </x:c>
      <x:c r="F4" s="37" t="str">
        <x:v>Reviewer note</x:v>
      </x:c>
    </x:row>
    <x:row r="5" ht="40" customHeight="1">
      <x:c r="A5" s="34" t="n">
        <x:v>1</x:v>
      </x:c>
      <x:c r="B5" s="34" t="str">
        <x:v>Repository: source, configuration, tests and download scripts</x:v>
      </x:c>
      <x:c r="C5" s="19" t="str"/>
      <x:c r="D5" s="19" t="str"/>
      <x:c r="E5" s="19" t="str"/>
      <x:c r="F5" s="48" t="str"/>
    </x:row>
    <x:row r="6" ht="40" customHeight="1">
      <x:c r="A6" s="34" t="n">
        <x:v>2</x:v>
      </x:c>
      <x:c r="B6" s="34" t="str">
        <x:v>Clean CPU reproduction: environment/lock/container file</x:v>
      </x:c>
      <x:c r="C6" s="19" t="str"/>
      <x:c r="D6" s="19" t="str"/>
      <x:c r="E6" s="19" t="str"/>
      <x:c r="F6" s="48" t="str"/>
    </x:row>
    <x:row r="7" ht="40" customHeight="1">
      <x:c r="A7" s="34" t="n">
        <x:v>3</x:v>
      </x:c>
      <x:c r="B7" s="34" t="str">
        <x:v>Approved free-compute notebook and exported logs (if permitted/used)</x:v>
      </x:c>
      <x:c r="C7" s="19" t="str"/>
      <x:c r="D7" s="19" t="str"/>
      <x:c r="E7" s="19" t="str"/>
      <x:c r="F7" s="48" t="str"/>
    </x:row>
    <x:row r="8" ht="40" customHeight="1">
      <x:c r="A8" s="34" t="n">
        <x:v>4</x:v>
      </x:c>
      <x:c r="B8" s="34" t="str">
        <x:v>SOURCES.md, AI_USE.md and complete licence/rights manifest</x:v>
      </x:c>
      <x:c r="C8" s="19" t="str"/>
      <x:c r="D8" s="19" t="str"/>
      <x:c r="E8" s="19" t="str"/>
      <x:c r="F8" s="48" t="str"/>
    </x:row>
    <x:row r="9" ht="40" customHeight="1">
      <x:c r="A9" s="34" t="n">
        <x:v>5</x:v>
      </x:c>
      <x:c r="B9" s="34" t="str">
        <x:v>Track-specific test pack, all outputs and evidence index</x:v>
      </x:c>
      <x:c r="C9" s="19" t="str"/>
      <x:c r="D9" s="19" t="str"/>
      <x:c r="E9" s="19" t="str"/>
      <x:c r="F9" s="48" t="str"/>
    </x:row>
    <x:row r="10" ht="40" customHeight="1">
      <x:c r="A10" s="34" t="n">
        <x:v>6</x:v>
      </x:c>
      <x:c r="B10" s="34" t="str">
        <x:v>Automated unit, integration and end-to-end tests</x:v>
      </x:c>
      <x:c r="C10" s="19" t="str"/>
      <x:c r="D10" s="19" t="str"/>
      <x:c r="E10" s="19" t="str"/>
      <x:c r="F10" s="48" t="str"/>
    </x:row>
    <x:row r="11" ht="40" customHeight="1">
      <x:c r="A11" s="34" t="n">
        <x:v>7</x:v>
      </x:c>
      <x:c r="B11" s="34" t="str">
        <x:v>Benchmark: runtime, memory, model size and quality metrics</x:v>
      </x:c>
      <x:c r="C11" s="19" t="str"/>
      <x:c r="D11" s="19" t="str"/>
      <x:c r="E11" s="19" t="str"/>
      <x:c r="F11" s="48" t="str"/>
    </x:row>
    <x:row r="12" ht="40" customHeight="1">
      <x:c r="A12" s="34" t="n">
        <x:v>8</x:v>
      </x:c>
      <x:c r="B12" s="34" t="str">
        <x:v>Technical report: architecture, trade-offs, failures and product path</x:v>
      </x:c>
      <x:c r="C12" s="19" t="str"/>
      <x:c r="D12" s="19" t="str"/>
      <x:c r="E12" s="19" t="str"/>
      <x:c r="F12" s="48" t="str"/>
    </x:row>
    <x:row r="13" ht="40" customHeight="1">
      <x:c r="A13" s="34" t="n">
        <x:v>9</x:v>
      </x:c>
      <x:c r="B13" s="34" t="str">
        <x:v>Unedited demo video (maximum 8 minutes)</x:v>
      </x:c>
      <x:c r="C13" s="19" t="str"/>
      <x:c r="D13" s="19" t="str"/>
      <x:c r="E13" s="19" t="str"/>
      <x:c r="F13" s="48" t="str"/>
    </x:row>
    <x:row r="15" ht="23" customHeight="1">
      <x:c r="A15" s="10" t="str">
        <x:v>Exact Reproduction Commands</x:v>
      </x:c>
      <x:c r="B15" s="10" t="str">
        <x:v>Exact Reproduction Commands</x:v>
      </x:c>
      <x:c r="C15" s="10" t="str">
        <x:v>Exact Reproduction Commands</x:v>
      </x:c>
      <x:c r="D15" s="10" t="str">
        <x:v>Exact Reproduction Commands</x:v>
      </x:c>
      <x:c r="E15" s="10" t="str">
        <x:v>Exact Reproduction Commands</x:v>
      </x:c>
      <x:c r="F15" s="10" t="str">
        <x:v>Exact Reproduction Commands</x:v>
      </x:c>
    </x:row>
    <x:row r="16" ht="36" customHeight="1">
      <x:c r="A16" s="14" t="str">
        <x:v>Environment/setup</x:v>
      </x:c>
      <x:c r="B16" s="19"/>
      <x:c r="C16" s="19"/>
      <x:c r="D16" s="19"/>
      <x:c r="E16" s="19"/>
      <x:c r="F16" s="19"/>
    </x:row>
    <x:row r="17" ht="36" customHeight="1">
      <x:c r="A17" s="14" t="str">
        <x:v>Model/asset download</x:v>
      </x:c>
      <x:c r="B17" s="19"/>
      <x:c r="C17" s="19"/>
      <x:c r="D17" s="19"/>
      <x:c r="E17" s="19"/>
      <x:c r="F17" s="19"/>
    </x:row>
    <x:row r="18" ht="36" customHeight="1">
      <x:c r="A18" s="14" t="str">
        <x:v>CPU baseline run</x:v>
      </x:c>
      <x:c r="B18" s="19"/>
      <x:c r="C18" s="19"/>
      <x:c r="D18" s="19"/>
      <x:c r="E18" s="19"/>
      <x:c r="F18" s="19"/>
    </x:row>
    <x:row r="19" ht="36" customHeight="1">
      <x:c r="A19" s="14" t="str">
        <x:v>Approved free-compute run (if used)</x:v>
      </x:c>
      <x:c r="B19" s="19"/>
      <x:c r="C19" s="19"/>
      <x:c r="D19" s="19"/>
      <x:c r="E19" s="19"/>
      <x:c r="F19" s="19"/>
    </x:row>
    <x:row r="20" ht="36" customHeight="1">
      <x:c r="A20" s="14" t="str">
        <x:v>Automated tests</x:v>
      </x:c>
      <x:c r="B20" s="19"/>
      <x:c r="C20" s="19"/>
      <x:c r="D20" s="19"/>
      <x:c r="E20" s="19"/>
      <x:c r="F20" s="19"/>
    </x:row>
    <x:row r="21" ht="36" customHeight="1">
      <x:c r="A21" s="14" t="str">
        <x:v>Benchmark</x:v>
      </x:c>
      <x:c r="B21" s="19"/>
      <x:c r="C21" s="19"/>
      <x:c r="D21" s="19"/>
      <x:c r="E21" s="19"/>
      <x:c r="F21" s="19"/>
    </x:row>
    <x:row r="22" ht="36" customHeight="1">
      <x:c r="A22" s="14" t="str">
        <x:v>Output validation</x:v>
      </x:c>
      <x:c r="B22" s="19"/>
      <x:c r="C22" s="19"/>
      <x:c r="D22" s="19"/>
      <x:c r="E22" s="19"/>
      <x:c r="F22" s="19"/>
    </x:row>
    <x:row r="24" ht="23" customHeight="1">
      <x:c r="A24" s="10" t="str">
        <x:v>Submission Notes</x:v>
      </x:c>
      <x:c r="B24" s="10" t="str">
        <x:v>Submission Notes</x:v>
      </x:c>
      <x:c r="C24" s="10" t="str">
        <x:v>Submission Notes</x:v>
      </x:c>
      <x:c r="D24" s="10" t="str">
        <x:v>Submission Notes</x:v>
      </x:c>
      <x:c r="E24" s="10" t="str">
        <x:v>Submission Notes</x:v>
      </x:c>
      <x:c r="F24" s="10" t="str">
        <x:v>Submission Notes</x:v>
      </x:c>
    </x:row>
    <x:row r="25">
      <x:c r="A25" s="19"/>
      <x:c r="B25" s="19"/>
      <x:c r="C25" s="19"/>
      <x:c r="D25" s="19"/>
      <x:c r="E25" s="19"/>
      <x:c r="F25" s="19"/>
    </x:row>
    <x:row r="26">
      <x:c r="A26" s="19"/>
      <x:c r="B26" s="19"/>
      <x:c r="C26" s="19"/>
      <x:c r="D26" s="19"/>
      <x:c r="E26" s="19"/>
      <x:c r="F26" s="19"/>
    </x:row>
    <x:row r="27">
      <x:c r="A27" s="19"/>
      <x:c r="B27" s="19"/>
      <x:c r="C27" s="19"/>
      <x:c r="D27" s="19"/>
      <x:c r="E27" s="19"/>
      <x:c r="F27" s="19"/>
    </x:row>
    <x:row r="28">
      <x:c r="A28" s="19"/>
      <x:c r="B28" s="19"/>
      <x:c r="C28" s="19"/>
      <x:c r="D28" s="19"/>
      <x:c r="E28" s="19"/>
      <x:c r="F28" s="19"/>
    </x:row>
  </x:sheetData>
  <x:mergeCells>
    <x:mergeCell ref="A1:F1"/>
    <x:mergeCell ref="A2:F2"/>
    <x:mergeCell ref="A15:F15"/>
    <x:mergeCell ref="B16:F16"/>
    <x:mergeCell ref="B17:F17"/>
    <x:mergeCell ref="B18:F18"/>
    <x:mergeCell ref="B19:F19"/>
    <x:mergeCell ref="B20:F20"/>
    <x:mergeCell ref="B21:F21"/>
    <x:mergeCell ref="B22:F22"/>
    <x:mergeCell ref="A24:F24"/>
    <x:mergeCell ref="A25:F28"/>
  </x:mergeCells>
  <x:dataValidations count="1">
    <x:dataValidation type="list" sqref="C5:C13">
      <x:formula1>"Complete,Partial,Not complete,Not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34" hidden="0" customWidth="1"/>
    <x:col min="5" max="5" width="18" hidden="0" customWidth="1"/>
    <x:col min="6" max="6" width="28" hidden="0" customWidth="1"/>
    <x:col min="7" max="7" width="16" hidden="0" customWidth="1"/>
    <x:col min="8" max="8" width="22" hidden="0" customWidth="1"/>
    <x:col min="9" max="9" width="13" hidden="0" customWidth="1"/>
    <x:col min="10" max="10" width="12" hidden="0" customWidth="1"/>
    <x:col min="11" max="11" width="28" hidden="0" customWidth="1"/>
    <x:col min="12" max="12" width="15" hidden="0" customWidth="1"/>
  </x:cols>
  <x:sheetData>
    <x:row r="1" ht="34" customHeight="1">
      <x:c r="A1" s="3" t="str">
        <x:v>Track 02 | Component, Model and Licence Manifest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List every material library, model/checkpoint, dataset, media and hosted execution environment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37" t="str">
        <x:v>Component / asset</x:v>
      </x:c>
      <x:c r="B4" s="37" t="str">
        <x:v>Version / checkpoint</x:v>
      </x:c>
      <x:c r="C4" s="37" t="str">
        <x:v>Role</x:v>
      </x:c>
      <x:c r="D4" s="37" t="str">
        <x:v>Source URL</x:v>
      </x:c>
      <x:c r="E4" s="37" t="str">
        <x:v>Code licence</x:v>
      </x:c>
      <x:c r="F4" s="37" t="str">
        <x:v>Weights/data/media licence</x:v>
      </x:c>
      <x:c r="G4" s="37" t="str">
        <x:v>Commercial use</x:v>
      </x:c>
      <x:c r="H4" s="37" t="str">
        <x:v>Execution</x:v>
      </x:c>
      <x:c r="I4" s="37" t="str">
        <x:v>Core path</x:v>
      </x:c>
      <x:c r="J4" s="37" t="str">
        <x:v>Size MB</x:v>
      </x:c>
      <x:c r="K4" s="37" t="str">
        <x:v>Attribution / restrictions</x:v>
      </x:c>
      <x:c r="L4" s="37" t="str">
        <x:v>Verified date</x:v>
      </x:c>
    </x:row>
    <x:row r="5" ht="36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49" t="str"/>
      <x:c r="K5" s="19" t="str"/>
      <x:c r="L5" s="25" t="str"/>
    </x:row>
    <x:row r="6" ht="36" customHeight="1">
      <x:c r="A6" s="19" t="str"/>
      <x:c r="B6" s="19" t="str"/>
      <x:c r="C6" s="19" t="str"/>
      <x:c r="D6" s="19" t="str"/>
      <x:c r="E6" s="19" t="str"/>
      <x:c r="F6" s="19" t="str"/>
      <x:c r="G6" s="19" t="str"/>
      <x:c r="H6" s="19" t="str"/>
      <x:c r="I6" s="19" t="str"/>
      <x:c r="J6" s="49" t="str"/>
      <x:c r="K6" s="19" t="str"/>
      <x:c r="L6" s="25" t="str"/>
    </x:row>
    <x:row r="7" ht="36" customHeight="1">
      <x:c r="A7" s="19" t="str"/>
      <x:c r="B7" s="19" t="str"/>
      <x:c r="C7" s="19" t="str"/>
      <x:c r="D7" s="19" t="str"/>
      <x:c r="E7" s="19" t="str"/>
      <x:c r="F7" s="19" t="str"/>
      <x:c r="G7" s="19" t="str"/>
      <x:c r="H7" s="19" t="str"/>
      <x:c r="I7" s="19" t="str"/>
      <x:c r="J7" s="49" t="str"/>
      <x:c r="K7" s="19" t="str"/>
      <x:c r="L7" s="25" t="str"/>
    </x:row>
    <x:row r="8" ht="36" customHeight="1">
      <x:c r="A8" s="19" t="str"/>
      <x:c r="B8" s="19" t="str"/>
      <x:c r="C8" s="19" t="str"/>
      <x:c r="D8" s="19" t="str"/>
      <x:c r="E8" s="19" t="str"/>
      <x:c r="F8" s="19" t="str"/>
      <x:c r="G8" s="19" t="str"/>
      <x:c r="H8" s="19" t="str"/>
      <x:c r="I8" s="19" t="str"/>
      <x:c r="J8" s="49" t="str"/>
      <x:c r="K8" s="19" t="str"/>
      <x:c r="L8" s="25" t="str"/>
    </x:row>
    <x:row r="9" ht="36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49" t="str"/>
      <x:c r="K9" s="19" t="str"/>
      <x:c r="L9" s="25" t="str"/>
    </x:row>
    <x:row r="10" ht="36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49" t="str"/>
      <x:c r="K10" s="19" t="str"/>
      <x:c r="L10" s="25" t="str"/>
    </x:row>
    <x:row r="11" ht="36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49" t="str"/>
      <x:c r="K11" s="19" t="str"/>
      <x:c r="L11" s="25" t="str"/>
    </x:row>
    <x:row r="12" ht="36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49" t="str"/>
      <x:c r="K12" s="19" t="str"/>
      <x:c r="L12" s="25" t="str"/>
    </x:row>
    <x:row r="13" ht="36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49" t="str"/>
      <x:c r="K13" s="19" t="str"/>
      <x:c r="L13" s="25" t="str"/>
    </x:row>
    <x:row r="14" ht="36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49" t="str"/>
      <x:c r="K14" s="19" t="str"/>
      <x:c r="L14" s="25" t="str"/>
    </x:row>
    <x:row r="15" ht="36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49" t="str"/>
      <x:c r="K15" s="19" t="str"/>
      <x:c r="L15" s="25" t="str"/>
    </x:row>
    <x:row r="16" ht="36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49" t="str"/>
      <x:c r="K16" s="19" t="str"/>
      <x:c r="L16" s="25" t="str"/>
    </x:row>
    <x:row r="17" ht="36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49" t="str"/>
      <x:c r="K17" s="19" t="str"/>
      <x:c r="L17" s="25" t="str"/>
    </x:row>
    <x:row r="18" ht="36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49" t="str"/>
      <x:c r="K18" s="19" t="str"/>
      <x:c r="L18" s="25" t="str"/>
    </x:row>
    <x:row r="19" ht="36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49" t="str"/>
      <x:c r="K19" s="19" t="str"/>
      <x:c r="L19" s="25" t="str"/>
    </x:row>
    <x:row r="20" ht="36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49" t="str"/>
      <x:c r="K20" s="19" t="str"/>
      <x:c r="L20" s="25" t="str"/>
    </x:row>
    <x:row r="21" ht="36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49" t="str"/>
      <x:c r="K21" s="19" t="str"/>
      <x:c r="L21" s="25" t="str"/>
    </x:row>
    <x:row r="22" ht="36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49" t="str"/>
      <x:c r="K22" s="19" t="str"/>
      <x:c r="L22" s="25" t="str"/>
    </x:row>
    <x:row r="23" ht="36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49" t="str"/>
      <x:c r="K23" s="19" t="str"/>
      <x:c r="L23" s="25" t="str"/>
    </x:row>
    <x:row r="24" ht="36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49" t="str"/>
      <x:c r="K24" s="19" t="str"/>
      <x:c r="L24" s="25" t="str"/>
    </x:row>
    <x:row r="26">
      <x:c r="A26" s="19" t="str">
        <x:v>Product recommendation: identify the preferred commercially reusable stack, any research-only comparison components, unresolved licence questions, attribution obligations, privacy/consent constraints and what must change before product use.</x:v>
      </x:c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</x:row>
  </x:sheetData>
  <x:mergeCells>
    <x:mergeCell ref="A1:L1"/>
    <x:mergeCell ref="A2:L2"/>
    <x:mergeCell ref="A26:L29"/>
  </x:mergeCells>
  <x:dataValidations count="3">
    <x:dataValidation type="list" sqref="G5:G24">
      <x:formula1>"Yes,No,Unclear"</x:formula1>
    </x:dataValidation>
    <x:dataValidation type="list" sqref="H5:H24">
      <x:formula1>"Local CPU,Approved free compute,Both,Reference only"</x:formula1>
    </x:dataValidation>
    <x:dataValidation type="list" sqref="I5:I24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28" hidden="0" customWidth="1"/>
    <x:col min="5" max="5" width="26" hidden="0" customWidth="1"/>
    <x:col min="6" max="6" width="28" hidden="0" customWidth="1"/>
    <x:col min="7" max="7" width="21" hidden="0" customWidth="1"/>
    <x:col min="8" max="8" width="11" hidden="0" customWidth="1"/>
    <x:col min="9" max="9" width="17" hidden="0" customWidth="1"/>
    <x:col min="10" max="10" width="12" hidden="0" customWidth="1"/>
    <x:col min="11" max="11" width="17" hidden="0" customWidth="1"/>
    <x:col min="12" max="12" width="12" hidden="0" customWidth="1"/>
    <x:col min="13" max="13" width="13" hidden="0" customWidth="1"/>
    <x:col min="14" max="14" width="14" hidden="0" customWidth="1"/>
    <x:col min="15" max="15" width="15" hidden="0" customWidth="1"/>
    <x:col min="16" max="16" width="28" hidden="0" customWidth="1"/>
    <x:col min="17" max="17" width="30" hidden="0" customWidth="1"/>
  </x:cols>
  <x:sheetData>
    <x:row r="1" ht="34" customHeight="1">
      <x:c r="A1" s="3" t="str">
        <x:v>Track 02 | Test Evidence and Benchmark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One row per attempted test; retain failures and link every claim to output or logs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52" t="str">
        <x:v>Primary metrics: job success rate, time per image, peak accelerator memory if available, local RAM, prompt/spec adherence, diversity/coverage, identity consistency. Record actual machine/compute route and every attempted output.</x:v>
      </x:c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</x:row>
    <x:row r="6">
      <x:c r="A6" s="37" t="str">
        <x:v>Test ID</x:v>
      </x:c>
      <x:c r="B6" s="37" t="str">
        <x:v>Level</x:v>
      </x:c>
      <x:c r="C6" s="37" t="str">
        <x:v>Input / path</x:v>
      </x:c>
      <x:c r="D6" s="37" t="str">
        <x:v>Expected behaviour</x:v>
      </x:c>
      <x:c r="E6" s="37" t="str">
        <x:v>Output / path</x:v>
      </x:c>
      <x:c r="F6" s="37" t="str">
        <x:v>Approach / config</x:v>
      </x:c>
      <x:c r="G6" s="37" t="str">
        <x:v>Compute route</x:v>
      </x:c>
      <x:c r="H6" s="37" t="str">
        <x:v>Pass?</x:v>
      </x:c>
      <x:c r="I6" s="37" t="str">
        <x:v>Metric 1</x:v>
      </x:c>
      <x:c r="J6" s="37" t="str">
        <x:v>Value 1</x:v>
      </x:c>
      <x:c r="K6" s="37" t="str">
        <x:v>Metric 2</x:v>
      </x:c>
      <x:c r="L6" s="37" t="str">
        <x:v>Value 2</x:v>
      </x:c>
      <x:c r="M6" s="37" t="str">
        <x:v>Runtime sec</x:v>
      </x:c>
      <x:c r="N6" s="37" t="str">
        <x:v>Peak RAM MB</x:v>
      </x:c>
      <x:c r="O6" s="37" t="str">
        <x:v>Model / asset size MB</x:v>
      </x:c>
      <x:c r="P6" s="37" t="str">
        <x:v>Evidence / log</x:v>
      </x:c>
      <x:c r="Q6" s="37" t="str">
        <x:v>Notes / failure analysis</x:v>
      </x:c>
    </x:row>
    <x:row r="7" ht="42" customHeight="1">
      <x:c r="A7" s="19" t="str"/>
      <x:c r="B7" s="19" t="str"/>
      <x:c r="C7" s="19" t="str"/>
      <x:c r="D7" s="19" t="str"/>
      <x:c r="E7" s="19" t="str"/>
      <x:c r="F7" s="19" t="str"/>
      <x:c r="G7" s="19" t="str"/>
      <x:c r="H7" s="19" t="str"/>
      <x:c r="I7" s="19" t="str"/>
      <x:c r="J7" s="53" t="str"/>
      <x:c r="K7" s="19" t="str"/>
      <x:c r="L7" s="53" t="str"/>
      <x:c r="M7" s="49" t="str"/>
      <x:c r="N7" s="49" t="str"/>
      <x:c r="O7" s="49" t="str"/>
      <x:c r="P7" s="19" t="str"/>
      <x:c r="Q7" s="19" t="str"/>
    </x:row>
    <x:row r="8" ht="42" customHeight="1">
      <x:c r="A8" s="19" t="str"/>
      <x:c r="B8" s="19" t="str"/>
      <x:c r="C8" s="19" t="str"/>
      <x:c r="D8" s="19" t="str"/>
      <x:c r="E8" s="19" t="str"/>
      <x:c r="F8" s="19" t="str"/>
      <x:c r="G8" s="19" t="str"/>
      <x:c r="H8" s="19" t="str"/>
      <x:c r="I8" s="19" t="str"/>
      <x:c r="J8" s="53" t="str"/>
      <x:c r="K8" s="19" t="str"/>
      <x:c r="L8" s="53" t="str"/>
      <x:c r="M8" s="49" t="str"/>
      <x:c r="N8" s="49" t="str"/>
      <x:c r="O8" s="49" t="str"/>
      <x:c r="P8" s="19" t="str"/>
      <x:c r="Q8" s="19" t="str"/>
    </x:row>
    <x:row r="9" ht="4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53" t="str"/>
      <x:c r="K9" s="19" t="str"/>
      <x:c r="L9" s="53" t="str"/>
      <x:c r="M9" s="49" t="str"/>
      <x:c r="N9" s="49" t="str"/>
      <x:c r="O9" s="49" t="str"/>
      <x:c r="P9" s="19" t="str"/>
      <x:c r="Q9" s="19" t="str"/>
    </x:row>
    <x:row r="10" ht="4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53" t="str"/>
      <x:c r="K10" s="19" t="str"/>
      <x:c r="L10" s="53" t="str"/>
      <x:c r="M10" s="49" t="str"/>
      <x:c r="N10" s="49" t="str"/>
      <x:c r="O10" s="49" t="str"/>
      <x:c r="P10" s="19" t="str"/>
      <x:c r="Q10" s="19" t="str"/>
    </x:row>
    <x:row r="11" ht="4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53" t="str"/>
      <x:c r="K11" s="19" t="str"/>
      <x:c r="L11" s="53" t="str"/>
      <x:c r="M11" s="49" t="str"/>
      <x:c r="N11" s="49" t="str"/>
      <x:c r="O11" s="49" t="str"/>
      <x:c r="P11" s="19" t="str"/>
      <x:c r="Q11" s="19" t="str"/>
    </x:row>
    <x:row r="12" ht="4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53" t="str"/>
      <x:c r="K12" s="19" t="str"/>
      <x:c r="L12" s="53" t="str"/>
      <x:c r="M12" s="49" t="str"/>
      <x:c r="N12" s="49" t="str"/>
      <x:c r="O12" s="49" t="str"/>
      <x:c r="P12" s="19" t="str"/>
      <x:c r="Q12" s="19" t="str"/>
    </x:row>
    <x:row r="13" ht="4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53" t="str"/>
      <x:c r="K13" s="19" t="str"/>
      <x:c r="L13" s="53" t="str"/>
      <x:c r="M13" s="49" t="str"/>
      <x:c r="N13" s="49" t="str"/>
      <x:c r="O13" s="49" t="str"/>
      <x:c r="P13" s="19" t="str"/>
      <x:c r="Q13" s="19" t="str"/>
    </x:row>
    <x:row r="14" ht="4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53" t="str"/>
      <x:c r="K14" s="19" t="str"/>
      <x:c r="L14" s="53" t="str"/>
      <x:c r="M14" s="49" t="str"/>
      <x:c r="N14" s="49" t="str"/>
      <x:c r="O14" s="49" t="str"/>
      <x:c r="P14" s="19" t="str"/>
      <x:c r="Q14" s="19" t="str"/>
    </x:row>
    <x:row r="15" ht="4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53" t="str"/>
      <x:c r="K15" s="19" t="str"/>
      <x:c r="L15" s="53" t="str"/>
      <x:c r="M15" s="49" t="str"/>
      <x:c r="N15" s="49" t="str"/>
      <x:c r="O15" s="49" t="str"/>
      <x:c r="P15" s="19" t="str"/>
      <x:c r="Q15" s="19" t="str"/>
    </x:row>
    <x:row r="16" ht="4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53" t="str"/>
      <x:c r="K16" s="19" t="str"/>
      <x:c r="L16" s="53" t="str"/>
      <x:c r="M16" s="49" t="str"/>
      <x:c r="N16" s="49" t="str"/>
      <x:c r="O16" s="49" t="str"/>
      <x:c r="P16" s="19" t="str"/>
      <x:c r="Q16" s="19" t="str"/>
    </x:row>
    <x:row r="17" ht="4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53" t="str"/>
      <x:c r="K17" s="19" t="str"/>
      <x:c r="L17" s="53" t="str"/>
      <x:c r="M17" s="49" t="str"/>
      <x:c r="N17" s="49" t="str"/>
      <x:c r="O17" s="49" t="str"/>
      <x:c r="P17" s="19" t="str"/>
      <x:c r="Q17" s="19" t="str"/>
    </x:row>
    <x:row r="18" ht="4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53" t="str"/>
      <x:c r="K18" s="19" t="str"/>
      <x:c r="L18" s="53" t="str"/>
      <x:c r="M18" s="49" t="str"/>
      <x:c r="N18" s="49" t="str"/>
      <x:c r="O18" s="49" t="str"/>
      <x:c r="P18" s="19" t="str"/>
      <x:c r="Q18" s="19" t="str"/>
    </x:row>
    <x:row r="19" ht="4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53" t="str"/>
      <x:c r="K19" s="19" t="str"/>
      <x:c r="L19" s="53" t="str"/>
      <x:c r="M19" s="49" t="str"/>
      <x:c r="N19" s="49" t="str"/>
      <x:c r="O19" s="49" t="str"/>
      <x:c r="P19" s="19" t="str"/>
      <x:c r="Q19" s="19" t="str"/>
    </x:row>
    <x:row r="20" ht="4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53" t="str"/>
      <x:c r="K20" s="19" t="str"/>
      <x:c r="L20" s="53" t="str"/>
      <x:c r="M20" s="49" t="str"/>
      <x:c r="N20" s="49" t="str"/>
      <x:c r="O20" s="49" t="str"/>
      <x:c r="P20" s="19" t="str"/>
      <x:c r="Q20" s="19" t="str"/>
    </x:row>
    <x:row r="21" ht="4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53" t="str"/>
      <x:c r="K21" s="19" t="str"/>
      <x:c r="L21" s="53" t="str"/>
      <x:c r="M21" s="49" t="str"/>
      <x:c r="N21" s="49" t="str"/>
      <x:c r="O21" s="49" t="str"/>
      <x:c r="P21" s="19" t="str"/>
      <x:c r="Q21" s="19" t="str"/>
    </x:row>
    <x:row r="22" ht="4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53" t="str"/>
      <x:c r="K22" s="19" t="str"/>
      <x:c r="L22" s="53" t="str"/>
      <x:c r="M22" s="49" t="str"/>
      <x:c r="N22" s="49" t="str"/>
      <x:c r="O22" s="49" t="str"/>
      <x:c r="P22" s="19" t="str"/>
      <x:c r="Q22" s="19" t="str"/>
    </x:row>
    <x:row r="23" ht="4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53" t="str"/>
      <x:c r="K23" s="19" t="str"/>
      <x:c r="L23" s="53" t="str"/>
      <x:c r="M23" s="49" t="str"/>
      <x:c r="N23" s="49" t="str"/>
      <x:c r="O23" s="49" t="str"/>
      <x:c r="P23" s="19" t="str"/>
      <x:c r="Q23" s="19" t="str"/>
    </x:row>
    <x:row r="24" ht="4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53" t="str"/>
      <x:c r="K24" s="19" t="str"/>
      <x:c r="L24" s="53" t="str"/>
      <x:c r="M24" s="49" t="str"/>
      <x:c r="N24" s="49" t="str"/>
      <x:c r="O24" s="49" t="str"/>
      <x:c r="P24" s="19" t="str"/>
      <x:c r="Q24" s="19" t="str"/>
    </x:row>
    <x:row r="25" ht="4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53" t="str"/>
      <x:c r="K25" s="19" t="str"/>
      <x:c r="L25" s="53" t="str"/>
      <x:c r="M25" s="49" t="str"/>
      <x:c r="N25" s="49" t="str"/>
      <x:c r="O25" s="49" t="str"/>
      <x:c r="P25" s="19" t="str"/>
      <x:c r="Q25" s="19" t="str"/>
    </x:row>
    <x:row r="26" ht="4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53" t="str"/>
      <x:c r="K26" s="19" t="str"/>
      <x:c r="L26" s="53" t="str"/>
      <x:c r="M26" s="49" t="str"/>
      <x:c r="N26" s="49" t="str"/>
      <x:c r="O26" s="49" t="str"/>
      <x:c r="P26" s="19" t="str"/>
      <x:c r="Q26" s="19" t="str"/>
    </x:row>
    <x:row r="28">
      <x:c r="A28" s="19" t="str">
        <x:v>Benchmark method and limitations: describe warm-up, repetitions, timing boundaries, memory measurement, quality-reference source, metric normalisation, seeds, caches, free-compute hardware where applicable, and any excluded/manual steps.</x:v>
      </x:c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</x:row>
  </x:sheetData>
  <x:mergeCells>
    <x:mergeCell ref="A1:Q1"/>
    <x:mergeCell ref="A2:Q2"/>
    <x:mergeCell ref="A4:Q4"/>
    <x:mergeCell ref="A28:Q31"/>
  </x:mergeCells>
  <x:dataValidations count="3">
    <x:dataValidation type="list" sqref="B7:B26">
      <x:formula1>"Baseline,Strong,Exceptional,Negative / failure,Hidden / live"</x:formula1>
    </x:dataValidation>
    <x:dataValidation type="list" sqref="G7:G26">
      <x:formula1>"Local CPU,Approved free compute,IncuBrix equivalent"</x:formula1>
    </x:dataValidation>
    <x:dataValidation type="list" sqref="H7:H26">
      <x:formula1>"Yes,No,Partial"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Track 02 | Open-Source AI Human-Avatar Generation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Baseline is mandatory; higher-level points require complete verified evidence</x:v>
      </x:c>
      <x:c r="B2" s="7"/>
      <x:c r="C2" s="7"/>
      <x:c r="D2" s="7"/>
      <x:c r="E2" s="7"/>
      <x:c r="F2" s="7"/>
      <x:c r="G2" s="7"/>
      <x:c r="H2" s="7"/>
    </x:row>
    <x:row r="4" ht="23" customHeight="1">
      <x:c r="A4" s="10" t="str">
        <x:v>Problem and Product Context</x:v>
      </x:c>
      <x:c r="B4" s="10" t="str">
        <x:v>Problem and Product Context</x:v>
      </x:c>
      <x:c r="C4" s="10" t="str">
        <x:v>Problem and Product Context</x:v>
      </x:c>
      <x:c r="D4" s="10" t="str">
        <x:v>Problem and Product Context</x:v>
      </x:c>
      <x:c r="E4" s="10" t="str">
        <x:v>Problem and Product Context</x:v>
      </x:c>
      <x:c r="F4" s="10" t="str">
        <x:v>Problem and Product Context</x:v>
      </x:c>
      <x:c r="G4" s="10" t="str">
        <x:v>Problem and Product Context</x:v>
      </x:c>
      <x:c r="H4" s="10" t="str">
        <x:v>Problem and Product Context</x:v>
      </x:c>
    </x:row>
    <x:row r="5" ht="54" customHeight="1">
      <x:c r="A5" s="14" t="str">
        <x:v>Original/refined intent</x:v>
      </x:c>
      <x:c r="B5" s="34" t="str">
        <x:v>Use open-source generative AI to create human avatars, support inclusive appearance controls across nationalities and ethnicities, and—at the highest level—create a consistent avatar for a consenting individual.</x:v>
      </x:c>
      <x:c r="C5" s="34"/>
      <x:c r="D5" s="34"/>
      <x:c r="E5" s="34"/>
      <x:c r="F5" s="34"/>
      <x:c r="G5" s="34"/>
      <x:c r="H5" s="34"/>
    </x:row>
    <x:row r="6" ht="54" customHeight="1">
      <x:c r="A6" s="14" t="str">
        <x:v>Product value</x:v>
      </x:c>
      <x:c r="B6" s="34" t="str">
        <x:v>Reusable presenter identities and visual localisation without commercial generation APIs</x:v>
      </x:c>
      <x:c r="C6" s="34"/>
      <x:c r="D6" s="34"/>
      <x:c r="E6" s="34"/>
      <x:c r="F6" s="34"/>
      <x:c r="G6" s="34"/>
      <x:c r="H6" s="34"/>
    </x:row>
    <x:row r="7" ht="54" customHeight="1">
      <x:c r="A7" s="14" t="str">
        <x:v>Execution route</x:v>
      </x:c>
      <x:c r="B7" s="34" t="str">
        <x:v>Hybrid. The orchestration, safety checks, metadata, evaluation and tests must run locally on a non-GPU laptop. Image-model inference may run in a disclosed free accelerator notebook because realistic generation is generally impractical on typical CPUs. No candidate payment or card is permitted.</x:v>
      </x:c>
      <x:c r="C7" s="34"/>
      <x:c r="D7" s="34"/>
      <x:c r="E7" s="34"/>
      <x:c r="F7" s="34"/>
      <x:c r="G7" s="34"/>
      <x:c r="H7" s="34"/>
    </x:row>
    <x:row r="8" ht="54" customHeight="1">
      <x:c r="A8" s="14" t="str">
        <x:v>Input/output contract</x:v>
      </x:c>
      <x:c r="B8" s="34" t="str">
        <x:v>Input: structured avatar specification (age band, presentation, skin tone, hair, attire, background, pose and optional consented reference images). Output: PNG/JPEG assets plus avatar_manifest.json containing prompt/spec, seed, model/checkpoint, provenance, safety results and compute route.</x:v>
      </x:c>
      <x:c r="C8" s="34"/>
      <x:c r="D8" s="34"/>
      <x:c r="E8" s="34"/>
      <x:c r="F8" s="34"/>
      <x:c r="G8" s="34"/>
      <x:c r="H8" s="34"/>
    </x:row>
    <x:row r="10" ht="23" customHeight="1">
      <x:c r="A10" s="10" t="str">
        <x:v>Performance Levels</x:v>
      </x:c>
      <x:c r="B10" s="10" t="str">
        <x:v>Performance Levels</x:v>
      </x:c>
      <x:c r="C10" s="10" t="str">
        <x:v>Performance Levels</x:v>
      </x:c>
      <x:c r="D10" s="10" t="str">
        <x:v>Performance Levels</x:v>
      </x:c>
      <x:c r="E10" s="10" t="str">
        <x:v>Performance Levels</x:v>
      </x:c>
      <x:c r="F10" s="10" t="str">
        <x:v>Performance Levels</x:v>
      </x:c>
      <x:c r="G10" s="10" t="str">
        <x:v>Performance Levels</x:v>
      </x:c>
      <x:c r="H10" s="10" t="str">
        <x:v>Performance Levels</x:v>
      </x:c>
    </x:row>
    <x:row r="11">
      <x:c r="A11" s="37" t="str">
        <x:v>Level</x:v>
      </x:c>
      <x:c r="B11" s="37" t="str">
        <x:v>Requirement</x:v>
      </x:c>
      <x:c r="C11" s="37" t="str"/>
      <x:c r="D11" s="37" t="str"/>
      <x:c r="E11" s="37" t="str"/>
      <x:c r="F11" s="37" t="str"/>
      <x:c r="G11" s="37" t="str"/>
      <x:c r="H11" s="37" t="str"/>
    </x:row>
    <x:row r="12" ht="92" customHeight="1">
      <x:c r="A12" s="40" t="str">
        <x:v>Baseline - mandatory</x:v>
      </x:c>
      <x:c r="B12" s="34" t="str">
        <x:v>Generate at least six fictional human-avatar portraits with an openly available model executed by the candidate. Provide deterministic seeds, structured specifications, negative/safety controls, provenance and a local CLI that prepares jobs and validates returned outputs. At least two batches must be reproducible from a clean notebook or IncuBrix-provided run slot.</x:v>
      </x:c>
      <x:c r="C12" s="34" t="str"/>
      <x:c r="D12" s="34" t="str"/>
      <x:c r="E12" s="34" t="str"/>
      <x:c r="F12" s="34" t="str"/>
      <x:c r="G12" s="34" t="str"/>
      <x:c r="H12" s="34" t="str"/>
    </x:row>
    <x:row r="13" ht="92" customHeight="1">
      <x:c r="A13" s="56" t="str">
        <x:v>Strong</x:v>
      </x:c>
      <x:c r="B13" s="34" t="str">
        <x:v>Generate a balanced test matrix spanning at least six materially different geographic/cultural appearance requirements without stereotyping. Separate appearance attributes from nationality labels, support controlled changes to at least four attributes, quantify prompt/spec adherence and identity consistency, and compare two open models or conditioning approaches.</x:v>
      </x:c>
      <x:c r="C13" s="34" t="str"/>
      <x:c r="D13" s="34" t="str"/>
      <x:c r="E13" s="34" t="str"/>
      <x:c r="F13" s="34" t="str"/>
      <x:c r="G13" s="34" t="str"/>
      <x:c r="H13" s="34" t="str"/>
    </x:row>
    <x:row r="14" ht="92" customHeight="1">
      <x:c r="A14" s="52" t="str">
        <x:v>Exceptional</x:v>
      </x:c>
      <x:c r="B14" s="34" t="str">
        <x:v>With explicit consent and rights to the reference images, create a consistent individual avatar across at least five poses/backgrounds and two aspect ratios. Evaluate identity consistency using an independent embedding system plus human review, label synthetic media, document privacy/deletion controls and demonstrate refusal when consent is absent.</x:v>
      </x:c>
      <x:c r="C14" s="34" t="str"/>
      <x:c r="D14" s="34" t="str"/>
      <x:c r="E14" s="34" t="str"/>
      <x:c r="F14" s="34" t="str"/>
      <x:c r="G14" s="34" t="str"/>
      <x:c r="H14" s="34" t="str"/>
    </x:row>
    <x:row r="16" ht="23" customHeight="1">
      <x:c r="A16" s="10" t="str">
        <x:v>Required Test Matrix</x:v>
      </x:c>
      <x:c r="B16" s="10" t="str">
        <x:v>Required Test Matrix</x:v>
      </x:c>
      <x:c r="C16" s="10" t="str">
        <x:v>Required Test Matrix</x:v>
      </x:c>
      <x:c r="D16" s="10" t="str">
        <x:v>Required Test Matrix</x:v>
      </x:c>
      <x:c r="E16" s="10" t="str">
        <x:v>Required Test Matrix</x:v>
      </x:c>
      <x:c r="F16" s="10" t="str">
        <x:v>Required Test Matrix</x:v>
      </x:c>
      <x:c r="G16" s="10" t="str">
        <x:v>Required Test Matrix</x:v>
      </x:c>
      <x:c r="H16" s="10" t="str">
        <x:v>Required Test Matrix</x:v>
      </x:c>
    </x:row>
    <x:row r="17" ht="36" customHeight="1">
      <x:c r="A17" s="29" t="n">
        <x:v>1</x:v>
      </x:c>
      <x:c r="B17" s="34" t="str">
        <x:v>Six fictional avatars covering varied skin tones, hair, attire, age bands and backgrounds</x:v>
      </x:c>
      <x:c r="C17" s="34"/>
      <x:c r="D17" s="34"/>
      <x:c r="E17" s="34"/>
      <x:c r="F17" s="34"/>
      <x:c r="G17" s="34"/>
      <x:c r="H17" s="34"/>
    </x:row>
    <x:row r="18" ht="36" customHeight="1">
      <x:c r="A18" s="29" t="n">
        <x:v>2</x:v>
      </x:c>
      <x:c r="B18" s="34" t="str">
        <x:v>Four controlled single-attribute changes while other attributes remain stable</x:v>
      </x:c>
      <x:c r="C18" s="34"/>
      <x:c r="D18" s="34"/>
      <x:c r="E18" s="34"/>
      <x:c r="F18" s="34"/>
      <x:c r="G18" s="34"/>
      <x:c r="H18" s="34"/>
    </x:row>
    <x:row r="19" ht="36" customHeight="1">
      <x:c r="A19" s="29" t="n">
        <x:v>3</x:v>
      </x:c>
      <x:c r="B19" s="34" t="str">
        <x:v>One ambiguous specification, one unsafe/disallowed request and one corrupted output</x:v>
      </x:c>
      <x:c r="C19" s="34"/>
      <x:c r="D19" s="34"/>
      <x:c r="E19" s="34"/>
      <x:c r="F19" s="34"/>
      <x:c r="G19" s="34"/>
      <x:c r="H19" s="34"/>
    </x:row>
    <x:row r="20" ht="36" customHeight="1">
      <x:c r="A20" s="29" t="n">
        <x:v>4</x:v>
      </x:c>
      <x:c r="B20" s="34" t="str">
        <x:v>Exceptional only: five scenes, two aspect ratios and consented reference set</x:v>
      </x:c>
      <x:c r="C20" s="34"/>
      <x:c r="D20" s="34"/>
      <x:c r="E20" s="34"/>
      <x:c r="F20" s="34"/>
      <x:c r="G20" s="34"/>
      <x:c r="H20" s="34"/>
    </x:row>
    <x:row r="22" ht="23" customHeight="1">
      <x:c r="A22" s="10" t="str">
        <x:v>Implementation Guidance and Minimum Evidence</x:v>
      </x:c>
      <x:c r="B22" s="10" t="str">
        <x:v>Implementation Guidance and Minimum Evidence</x:v>
      </x:c>
      <x:c r="C22" s="10" t="str">
        <x:v>Implementation Guidance and Minimum Evidence</x:v>
      </x:c>
      <x:c r="D22" s="10" t="str">
        <x:v>Implementation Guidance and Minimum Evidence</x:v>
      </x:c>
      <x:c r="E22" s="10" t="str">
        <x:v>Implementation Guidance and Minimum Evidence</x:v>
      </x:c>
      <x:c r="F22" s="10" t="str">
        <x:v>Implementation Guidance and Minimum Evidence</x:v>
      </x:c>
      <x:c r="G22" s="10" t="str">
        <x:v>Implementation Guidance and Minimum Evidence</x:v>
      </x:c>
      <x:c r="H22" s="10" t="str">
        <x:v>Implementation Guidance and Minimum Evidence</x:v>
      </x:c>
    </x:row>
    <x:row r="23" ht="34" customHeight="1">
      <x:c r="A23" s="58" t="n">
        <x:v>1</x:v>
      </x:c>
      <x:c r="B23" s="34" t="str">
        <x:v>Guidance: Represent requested traits as neutral attributes; do not encode nationality as a stereotype or claim biometric truth.</x:v>
      </x:c>
      <x:c r="C23" s="34"/>
      <x:c r="D23" s="34"/>
      <x:c r="E23" s="34"/>
      <x:c r="F23" s="34"/>
      <x:c r="G23" s="34"/>
      <x:c r="H23" s="34"/>
    </x:row>
    <x:row r="24" ht="34" customHeight="1">
      <x:c r="A24" s="58" t="n">
        <x:v>2</x:v>
      </x:c>
      <x:c r="B24" s="34" t="str">
        <x:v>Guidance: Use low resolution, few steps and memory-efficient attention first; scale only after the pipeline is stable.</x:v>
      </x:c>
      <x:c r="C24" s="34"/>
      <x:c r="D24" s="34"/>
      <x:c r="E24" s="34"/>
      <x:c r="F24" s="34"/>
      <x:c r="G24" s="34"/>
      <x:c r="H24" s="34"/>
    </x:row>
    <x:row r="25" ht="34" customHeight="1">
      <x:c r="A25" s="58" t="n">
        <x:v>3</x:v>
      </x:c>
      <x:c r="B25" s="34" t="str">
        <x:v>Guidance: The local CLI should create a portable job bundle, invoke or guide notebook execution, ingest results and validate dimensions/provenance.</x:v>
      </x:c>
      <x:c r="C25" s="34"/>
      <x:c r="D25" s="34"/>
      <x:c r="E25" s="34"/>
      <x:c r="F25" s="34"/>
      <x:c r="G25" s="34"/>
      <x:c r="H25" s="34"/>
    </x:row>
    <x:row r="26" ht="34" customHeight="1">
      <x:c r="A26" s="58" t="n">
        <x:v>4</x:v>
      </x:c>
      <x:c r="B26" s="34" t="str">
        <x:v>Guidance: Do not use Google Colab for individual-avatar/deepfake work because its managed-runtime policy prohibits deepfake creation.</x:v>
      </x:c>
      <x:c r="C26" s="34"/>
      <x:c r="D26" s="34"/>
      <x:c r="E26" s="34"/>
      <x:c r="F26" s="34"/>
      <x:c r="G26" s="34"/>
      <x:c r="H26" s="34"/>
    </x:row>
    <x:row r="27" ht="34" customHeight="1">
      <x:c r="A27" s="58" t="n">
        <x:v>5</x:v>
      </x:c>
      <x:c r="B27" s="34" t="str">
        <x:v>Evidence: Executable notebook with pinned model revision and downloadable outputs</x:v>
      </x:c>
      <x:c r="C27" s="34"/>
      <x:c r="D27" s="34"/>
      <x:c r="E27" s="34"/>
      <x:c r="F27" s="34"/>
      <x:c r="G27" s="34"/>
      <x:c r="H27" s="34"/>
    </x:row>
    <x:row r="28" ht="34" customHeight="1">
      <x:c r="A28" s="58" t="n">
        <x:v>6</x:v>
      </x:c>
      <x:c r="B28" s="34" t="str">
        <x:v>Evidence: Local job specification, validator, safety log and provenance manifest</x:v>
      </x:c>
      <x:c r="C28" s="34"/>
      <x:c r="D28" s="34"/>
      <x:c r="E28" s="34"/>
      <x:c r="F28" s="34"/>
      <x:c r="G28" s="34"/>
      <x:c r="H28" s="34"/>
    </x:row>
    <x:row r="29" ht="34" customHeight="1">
      <x:c r="A29" s="58" t="n">
        <x:v>7</x:v>
      </x:c>
      <x:c r="B29" s="34" t="str">
        <x:v>Evidence: All generated attempts with seeds, including rejected or degraded cases</x:v>
      </x:c>
      <x:c r="C29" s="34"/>
      <x:c r="D29" s="34"/>
      <x:c r="E29" s="34"/>
      <x:c r="F29" s="34"/>
      <x:c r="G29" s="34"/>
      <x:c r="H29" s="34"/>
    </x:row>
    <x:row r="30" ht="34" customHeight="1">
      <x:c r="A30" s="58" t="n">
        <x:v>8</x:v>
      </x:c>
      <x:c r="B30" s="34" t="str">
        <x:v>Evidence: Attribute test matrix and documented human-review protocol</x:v>
      </x:c>
      <x:c r="C30" s="34"/>
      <x:c r="D30" s="34"/>
      <x:c r="E30" s="34"/>
      <x:c r="F30" s="34"/>
      <x:c r="G30" s="34"/>
      <x:c r="H30" s="34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A10:H10"/>
    <x:mergeCell ref="B11:H11"/>
    <x:mergeCell ref="B12:H12"/>
    <x:mergeCell ref="B13:H13"/>
    <x:mergeCell ref="B14:H14"/>
    <x:mergeCell ref="A16:H16"/>
    <x:mergeCell ref="B17:H17"/>
    <x:mergeCell ref="B18:H18"/>
    <x:mergeCell ref="B19:H19"/>
    <x:mergeCell ref="B20:H20"/>
    <x:mergeCell ref="A22:H22"/>
    <x:mergeCell ref="B23:H23"/>
    <x:mergeCell ref="B24:H24"/>
    <x:mergeCell ref="B25:H25"/>
    <x:mergeCell ref="B26:H26"/>
    <x:mergeCell ref="B27:H27"/>
    <x:mergeCell ref="B28:H28"/>
    <x:mergeCell ref="B29:H29"/>
    <x:mergeCell ref="B30:H3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42" hidden="0" customWidth="1"/>
    <x:col min="5" max="5" width="19" hidden="0" customWidth="1"/>
    <x:col min="6" max="6" width="20" hidden="0" customWidth="1"/>
    <x:col min="7" max="7" width="20" hidden="0" customWidth="1"/>
  </x:cols>
  <x:sheetData>
    <x:row r="1" ht="34" customHeight="1">
      <x:c r="A1" s="3" t="str">
        <x:v>Track 02 | Evaluator Review and Final Result</x:v>
      </x:c>
      <x:c r="B1" s="3"/>
      <x:c r="C1" s="3"/>
      <x:c r="D1" s="3"/>
      <x:c r="E1" s="3"/>
      <x:c r="F1" s="3"/>
      <x:c r="G1" s="3"/>
    </x:row>
    <x:row r="2" ht="28" customHeight="1">
      <x:c r="A2" s="7" t="str">
        <x:v>Blue cells are reviewer inputs; green cells calculate eligibility, total and performance band</x:v>
      </x:c>
      <x:c r="B2" s="7"/>
      <x:c r="C2" s="7"/>
      <x:c r="D2" s="7"/>
      <x:c r="E2" s="7"/>
      <x:c r="F2" s="7"/>
      <x:c r="G2" s="7"/>
    </x:row>
    <x:row r="4" ht="23" customHeight="1">
      <x:c r="A4" s="10" t="str">
        <x:v>Hard Eligibility Gates</x:v>
      </x:c>
      <x:c r="B4" s="10" t="str">
        <x:v>Hard Eligibility Gates</x:v>
      </x:c>
      <x:c r="C4" s="10" t="str">
        <x:v>Hard Eligibility Gates</x:v>
      </x:c>
      <x:c r="D4" s="10" t="str">
        <x:v>Hard Eligibility Gates</x:v>
      </x:c>
      <x:c r="E4" s="10" t="str">
        <x:v>Hard Eligibility Gates</x:v>
      </x:c>
      <x:c r="F4" s="10" t="str">
        <x:v>Hard Eligibility Gates</x:v>
      </x:c>
      <x:c r="G4" s="10" t="str">
        <x:v>Hard Eligibility Gates</x:v>
      </x:c>
    </x:row>
    <x:row r="5">
      <x:c r="A5" s="14" t="str">
        <x:v>Runnable core</x:v>
      </x:c>
      <x:c r="B5" s="48" t="str"/>
      <x:c r="C5" s="34" t="str">
        <x:v>End-to-end output from submitted code and documented input</x:v>
      </x:c>
      <x:c r="D5" s="34" t="str"/>
      <x:c r="E5" s="35" t="str">
        <x:v>Eligibility</x:v>
      </x:c>
      <x:c r="F5" s="59" t="str">
        <x:f>IF(COUNTIF(B5:B11,"No")&gt;0,"INELIGIBLE",IF(COUNTIF(B5:B11,"Yes")=7,"ELIGIBLE","PENDING"))</x:f>
        <x:v>PENDING</x:v>
      </x:c>
      <x:c r="G5" s="59"/>
    </x:row>
    <x:row r="6">
      <x:c r="A6" s="14" t="str">
        <x:v>Permitted compute</x:v>
      </x:c>
      <x:c r="B6" s="48" t="str"/>
      <x:c r="C6" s="34" t="str">
        <x:v>Track compute rules followed; zero candidate spend; no hidden paid endpoint</x:v>
      </x:c>
      <x:c r="D6" s="34" t="str"/>
    </x:row>
    <x:row r="7">
      <x:c r="A7" s="14" t="str">
        <x:v>Open/local AI</x:v>
      </x:c>
      <x:c r="B7" s="48" t="str"/>
      <x:c r="C7" s="34" t="str">
        <x:v>No commercial generation API; material components disclosed</x:v>
      </x:c>
      <x:c r="D7" s="34" t="str"/>
      <x:c r="E7" s="64" t="str">
        <x:v>Any No makes the submission ineligible. Record evidence before stopping normal scoring. A partial score may be retained for feedback only.</x:v>
      </x:c>
      <x:c r="F7" s="64"/>
      <x:c r="G7" s="64"/>
    </x:row>
    <x:row r="8">
      <x:c r="A8" s="14" t="str">
        <x:v>Evidence complete</x:v>
      </x:c>
      <x:c r="B8" s="48" t="str"/>
      <x:c r="C8" s="34" t="str">
        <x:v>Required outputs/tests/benchmark support claims</x:v>
      </x:c>
      <x:c r="D8" s="34" t="str"/>
      <x:c r="E8" s="64"/>
      <x:c r="F8" s="64"/>
      <x:c r="G8" s="64"/>
    </x:row>
    <x:row r="9">
      <x:c r="A9" s="14" t="str">
        <x:v>Rights and consent</x:v>
      </x:c>
      <x:c r="B9" s="48" t="str"/>
      <x:c r="C9" s="34" t="str">
        <x:v>Voice/likeness/data/media authorised and appropriately labelled</x:v>
      </x:c>
      <x:c r="D9" s="34" t="str"/>
      <x:c r="E9" s="64"/>
      <x:c r="F9" s="64"/>
      <x:c r="G9" s="64"/>
    </x:row>
    <x:row r="10">
      <x:c r="A10" s="14" t="str">
        <x:v>Ownership</x:v>
      </x:c>
      <x:c r="B10" s="48" t="str"/>
      <x:c r="C10" s="34" t="str">
        <x:v>Candidate explains, traces, runs and modifies core code</x:v>
      </x:c>
      <x:c r="D10" s="34" t="str"/>
      <x:c r="E10" s="64"/>
      <x:c r="F10" s="64"/>
      <x:c r="G10" s="64"/>
    </x:row>
    <x:row r="11">
      <x:c r="A11" s="14" t="str">
        <x:v>Integrity</x:v>
      </x:c>
      <x:c r="B11" s="48" t="str"/>
      <x:c r="C11" s="34" t="str">
        <x:v>No fabrication, plagiarism, misleading benchmark or hidden manual work</x:v>
      </x:c>
      <x:c r="D11" s="34" t="str"/>
      <x:c r="E11" s="64"/>
      <x:c r="F11" s="64"/>
      <x:c r="G11" s="64"/>
    </x:row>
    <x:row r="13" ht="23" customHeight="1">
      <x:c r="A13" s="10" t="str">
        <x:v>Common 100-Point Rubric</x:v>
      </x:c>
      <x:c r="B13" s="10" t="str">
        <x:v>Common 100-Point Rubric</x:v>
      </x:c>
      <x:c r="C13" s="10" t="str">
        <x:v>Common 100-Point Rubric</x:v>
      </x:c>
      <x:c r="D13" s="10" t="str">
        <x:v>Common 100-Point Rubric</x:v>
      </x:c>
      <x:c r="E13" s="10" t="str">
        <x:v>Common 100-Point Rubric</x:v>
      </x:c>
      <x:c r="F13" s="10" t="str">
        <x:v>Common 100-Point Rubric</x:v>
      </x:c>
      <x:c r="G13" s="10" t="str">
        <x:v>Common 100-Point Rubric</x:v>
      </x:c>
    </x:row>
    <x:row r="14">
      <x:c r="A14" s="37" t="str">
        <x:v>Category</x:v>
      </x:c>
      <x:c r="B14" s="37" t="str">
        <x:v>Max</x:v>
      </x:c>
      <x:c r="C14" s="37" t="str">
        <x:v>Reviewer score</x:v>
      </x:c>
      <x:c r="D14" s="37" t="str">
        <x:v>Reviewer evidence</x:v>
      </x:c>
      <x:c r="E14" s="37" t="str">
        <x:v>Check</x:v>
      </x:c>
      <x:c r="F14" s="37" t="str">
        <x:v>Progression</x:v>
      </x:c>
      <x:c r="G14" s="37"/>
    </x:row>
    <x:row r="15">
      <x:c r="A15" s="34" t="str">
        <x:v>Functional correctness and output quality</x:v>
      </x:c>
      <x:c r="B15" s="34" t="n">
        <x:v>25</x:v>
      </x:c>
      <x:c r="C15" s="48" t="str"/>
      <x:c r="D15" s="48" t="str"/>
      <x:c r="E15" s="59" t="str">
        <x:f>IF(C15="","",IF(C15&lt;=25,"OK","CHECK"))</x:f>
      </x:c>
      <x:c r="F15" s="59" t="str">
        <x:f>IF(F5="PENDING","PENDING",IF(F5="INELIGIBLE","INELIGIBLE",IF(COUNT(C15:C19)&lt;5,"PENDING",IF(AND(C15&gt;=13,C16&gt;=15,C17&gt;=10,C19&gt;=12,C20&gt;=65),"PROGRESS","DO NOT PROGRESS"))))</x:f>
        <x:v>PENDING</x:v>
      </x:c>
      <x:c r="G15" s="59"/>
    </x:row>
    <x:row r="16">
      <x:c r="A16" s="34" t="str">
        <x:v>Software engineering and architecture</x:v>
      </x:c>
      <x:c r="B16" s="34" t="n">
        <x:v>25</x:v>
      </x:c>
      <x:c r="C16" s="48" t="str"/>
      <x:c r="D16" s="48" t="str"/>
      <x:c r="E16" s="59" t="str">
        <x:f>IF(C16="","",IF(C16&lt;=25,"OK","CHECK"))</x:f>
      </x:c>
      <x:c r="F16" s="59"/>
      <x:c r="G16" s="59"/>
    </x:row>
    <x:row r="17">
      <x:c r="A17" s="34" t="str">
        <x:v>Testing, evaluation and reproducibility</x:v>
      </x:c>
      <x:c r="B17" s="34" t="n">
        <x:v>20</x:v>
      </x:c>
      <x:c r="C17" s="48" t="str"/>
      <x:c r="D17" s="48" t="str"/>
      <x:c r="E17" s="59" t="str">
        <x:f>IF(C17="","",IF(C17&lt;=20,"OK","CHECK"))</x:f>
      </x:c>
      <x:c r="F17" s="59"/>
      <x:c r="G17" s="59"/>
    </x:row>
    <x:row r="18">
      <x:c r="A18" s="34" t="str">
        <x:v>Efficiency, licensing and product fit</x:v>
      </x:c>
      <x:c r="B18" s="34" t="n">
        <x:v>10</x:v>
      </x:c>
      <x:c r="C18" s="48" t="str"/>
      <x:c r="D18" s="48" t="str"/>
      <x:c r="E18" s="59" t="str">
        <x:f>IF(C18="","",IF(C18&lt;=10,"OK","CHECK"))</x:f>
      </x:c>
      <x:c r="F18" s="68" t="str">
        <x:v>Minimums: Functional 13; Engineering 15; Testing 10; Live 12; Total 65; successful live change also required.</x:v>
      </x:c>
      <x:c r="G18" s="68"/>
    </x:row>
    <x:row r="19">
      <x:c r="A19" s="34" t="str">
        <x:v>Live validation, debugging and ownership</x:v>
      </x:c>
      <x:c r="B19" s="34" t="n">
        <x:v>20</x:v>
      </x:c>
      <x:c r="C19" s="48" t="str"/>
      <x:c r="D19" s="48" t="str"/>
      <x:c r="E19" s="59" t="str">
        <x:f>IF(C19="","",IF(C19&lt;=20,"OK","CHECK"))</x:f>
      </x:c>
      <x:c r="F19" s="68"/>
      <x:c r="G19" s="68"/>
    </x:row>
    <x:row r="20">
      <x:c r="A20" s="34" t="str">
        <x:v>Total</x:v>
      </x:c>
      <x:c r="B20" s="34" t="n">
        <x:v>100</x:v>
      </x:c>
      <x:c r="C20" s="59" t="str">
        <x:f>IF(COUNT(C15:C19)=0,"",SUM(C15:C19))</x:f>
      </x:c>
      <x:c r="D20" t="str"/>
      <x:c r="E20" t="str"/>
      <x:c r="F20" s="68"/>
      <x:c r="G20" s="68"/>
    </x:row>
    <x:row r="22" ht="23" customHeight="1">
      <x:c r="A22" s="10" t="str">
        <x:v>Verified Level and Final Recommendation</x:v>
      </x:c>
      <x:c r="B22" s="10" t="str">
        <x:v>Verified Level and Final Recommendation</x:v>
      </x:c>
      <x:c r="C22" s="10" t="str">
        <x:v>Verified Level and Final Recommendation</x:v>
      </x:c>
      <x:c r="D22" s="10" t="str">
        <x:v>Verified Level and Final Recommendation</x:v>
      </x:c>
      <x:c r="E22" s="10" t="str">
        <x:v>Verified Level and Final Recommendation</x:v>
      </x:c>
      <x:c r="F22" s="10" t="str">
        <x:v>Verified Level and Final Recommendation</x:v>
      </x:c>
      <x:c r="G22" s="10" t="str">
        <x:v>Verified Level and Final Recommendation</x:v>
      </x:c>
    </x:row>
    <x:row r="23">
      <x:c r="A23" s="14" t="str">
        <x:v>Baseline verified</x:v>
      </x:c>
      <x:c r="B23" s="48" t="str"/>
      <x:c r="C23" s="34" t="str">
        <x:v>Required</x:v>
      </x:c>
      <x:c r="D23" s="34" t="str"/>
      <x:c r="E23" s="35" t="str">
        <x:v>Verified level</x:v>
      </x:c>
      <x:c r="F23" s="59" t="str">
        <x:f>IF(B23&lt;&gt;"Yes","BELOW BASELINE",IF(AND(B25="Yes",B26="Yes",C20&gt;=85),"EXCEPTIONAL",IF(B24="Yes","STRONG","BASELINE")))</x:f>
        <x:v>BELOW BASELINE</x:v>
      </x:c>
      <x:c r="G23" s="59"/>
    </x:row>
    <x:row r="24">
      <x:c r="A24" s="14" t="str">
        <x:v>Strong verified</x:v>
      </x:c>
      <x:c r="B24" s="48" t="str"/>
      <x:c r="C24" s="34" t="str">
        <x:v>Required for Strong cap</x:v>
      </x:c>
      <x:c r="D24" s="34" t="str"/>
    </x:row>
    <x:row r="25">
      <x:c r="A25" s="14" t="str">
        <x:v>Exceptional verified</x:v>
      </x:c>
      <x:c r="B25" s="48" t="str"/>
      <x:c r="C25" s="34" t="str">
        <x:v>Required for Exceptional cap</x:v>
      </x:c>
      <x:c r="D25" s="34" t="str"/>
      <x:c r="E25" s="35" t="str">
        <x:v>Final recommendation</x:v>
      </x:c>
      <x:c r="F25" s="48"/>
      <x:c r="G25" s="48"/>
    </x:row>
    <x:row r="26">
      <x:c r="A26" s="14" t="str">
        <x:v>2 of 3 hidden tests + product/licence gate + live change</x:v>
      </x:c>
      <x:c r="B26" s="48" t="str"/>
      <x:c r="C26" s="34" t="str">
        <x:v>Required for Exceptional</x:v>
      </x:c>
      <x:c r="D26" s="34" t="str"/>
    </x:row>
    <x:row r="27">
      <x:c r="A27" s="14" t="str">
        <x:v>Second evaluator required?</x:v>
      </x:c>
      <x:c r="B27" s="48" t="str"/>
      <x:c r="C27" s="34" t="str">
        <x:v>Potential selection / within 5 of cutoff / &gt;5 disagreement / sample</x:v>
      </x:c>
      <x:c r="D27" s="34" t="str"/>
      <x:c r="E27" s="48" t="str">
        <x:v>Final rationale and evidence references:</x:v>
      </x:c>
      <x:c r="F27" s="48"/>
      <x:c r="G27" s="48"/>
    </x:row>
    <x:row r="28">
      <x:c r="E28" s="48"/>
      <x:c r="F28" s="48"/>
      <x:c r="G28" s="48"/>
    </x:row>
    <x:row r="29">
      <x:c r="E29" s="48"/>
      <x:c r="F29" s="48"/>
      <x:c r="G29" s="48"/>
    </x:row>
    <x:row r="30">
      <x:c r="E30" s="48"/>
      <x:c r="F30" s="48"/>
      <x:c r="G30" s="48"/>
    </x:row>
  </x:sheetData>
  <x:mergeCells>
    <x:mergeCell ref="A1:G1"/>
    <x:mergeCell ref="A2:G2"/>
    <x:mergeCell ref="A4:G4"/>
    <x:mergeCell ref="C5:D5"/>
    <x:mergeCell ref="C6:D6"/>
    <x:mergeCell ref="C7:D7"/>
    <x:mergeCell ref="C8:D8"/>
    <x:mergeCell ref="C9:D9"/>
    <x:mergeCell ref="C10:D10"/>
    <x:mergeCell ref="C11:D11"/>
    <x:mergeCell ref="F5:G5"/>
    <x:mergeCell ref="E7:G11"/>
    <x:mergeCell ref="A13:G13"/>
    <x:mergeCell ref="F14:G14"/>
    <x:mergeCell ref="F15:G17"/>
    <x:mergeCell ref="F18:G20"/>
    <x:mergeCell ref="A22:G22"/>
    <x:mergeCell ref="C23:D23"/>
    <x:mergeCell ref="C24:D24"/>
    <x:mergeCell ref="C25:D25"/>
    <x:mergeCell ref="C26:D26"/>
    <x:mergeCell ref="C27:D27"/>
    <x:mergeCell ref="F23:G23"/>
    <x:mergeCell ref="F25:G25"/>
    <x:mergeCell ref="E27:G30"/>
  </x:mergeCells>
  <x:dataValidations count="7">
    <x:dataValidation type="list" sqref="B5:B11">
      <x:formula1>"Yes,No"</x:formula1>
    </x:dataValidation>
    <x:dataValidation type="whole" operator="between" sqref="C15:C16">
      <x:formula1>0</x:formula1>
      <x:formula2>25</x:formula2>
    </x:dataValidation>
    <x:dataValidation type="whole" operator="between" sqref="C17">
      <x:formula1>0</x:formula1>
      <x:formula2>20</x:formula2>
    </x:dataValidation>
    <x:dataValidation type="whole" operator="between" sqref="C18">
      <x:formula1>0</x:formula1>
      <x:formula2>10</x:formula2>
    </x:dataValidation>
    <x:dataValidation type="whole" operator="between" sqref="C19">
      <x:formula1>0</x:formula1>
      <x:formula2>20</x:formula2>
    </x:dataValidation>
    <x:dataValidation type="list" sqref="B23:B27">
      <x:formula1>"Yes,No"</x:formula1>
    </x:dataValidation>
    <x:dataValidation type="list" sqref="F25:G25">
      <x:formula1>"Hire - exceptional,Hire / strong shortlist,Hold,Do not progress,Ineligible"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15" hidden="0" customWidth="1"/>
    <x:col min="6" max="6" width="30" hidden="0" customWidth="1"/>
    <x:col min="7" max="7" width="15" hidden="0" customWidth="1"/>
    <x:col min="8" max="8" width="18" hidden="0" customWidth="1"/>
  </x:cols>
  <x:sheetData>
    <x:row r="1" ht="34" customHeight="1">
      <x:c r="A1" s="3" t="str">
        <x:v>Track 02 | Live Validation and Ownership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Internal evaluator sheet; do not share hidden inputs before the session</x:v>
      </x:c>
      <x:c r="B2" s="7"/>
      <x:c r="C2" s="7"/>
      <x:c r="D2" s="7"/>
      <x:c r="E2" s="7"/>
      <x:c r="F2" s="7"/>
      <x:c r="G2" s="7"/>
      <x:c r="H2" s="7"/>
    </x:row>
    <x:row r="4" ht="23" customHeight="1">
      <x:c r="A4" s="10" t="str">
        <x:v>Hidden Tests</x:v>
      </x:c>
      <x:c r="B4" s="10" t="str">
        <x:v>Hidden Tests</x:v>
      </x:c>
      <x:c r="C4" s="10" t="str">
        <x:v>Hidden Tests</x:v>
      </x:c>
      <x:c r="D4" s="10" t="str">
        <x:v>Hidden Tests</x:v>
      </x:c>
      <x:c r="E4" s="10" t="str">
        <x:v>Hidden Tests</x:v>
      </x:c>
      <x:c r="F4" s="10" t="str">
        <x:v>Hidden Tests</x:v>
      </x:c>
      <x:c r="G4" s="10" t="str">
        <x:v>Hidden Tests</x:v>
      </x:c>
      <x:c r="H4" s="10" t="str">
        <x:v>Hidden Tests</x:v>
      </x:c>
    </x:row>
    <x:row r="5">
      <x:c r="A5" s="37" t="str">
        <x:v>Test</x:v>
      </x:c>
      <x:c r="B5" s="37" t="str">
        <x:v>Input hash/path</x:v>
      </x:c>
      <x:c r="C5" s="37" t="str">
        <x:v>Expected behaviour</x:v>
      </x:c>
      <x:c r="D5" s="37" t="str">
        <x:v>Actual result</x:v>
      </x:c>
      <x:c r="E5" s="37" t="str">
        <x:v>Result</x:v>
      </x:c>
      <x:c r="F5" s="37" t="str">
        <x:v>Evidence/log</x:v>
      </x:c>
      <x:c r="G5" s="37" t="str">
        <x:v>Score impact</x:v>
      </x:c>
      <x:c r="H5" s="37" t="str">
        <x:v>Evaluator</x:v>
      </x:c>
    </x:row>
    <x:row r="6" ht="48" customHeight="1">
      <x:c r="A6" s="48" t="str">
        <x:v>Hidden 1</x:v>
      </x:c>
      <x:c r="B6" s="48" t="str"/>
      <x:c r="C6" s="48" t="str"/>
      <x:c r="D6" s="48" t="str"/>
      <x:c r="E6" s="48" t="str"/>
      <x:c r="F6" s="48" t="str"/>
      <x:c r="G6" s="48" t="str"/>
      <x:c r="H6" s="48" t="str"/>
    </x:row>
    <x:row r="7" ht="48" customHeight="1">
      <x:c r="A7" s="48" t="str">
        <x:v>Hidden 2</x:v>
      </x:c>
      <x:c r="B7" s="48" t="str"/>
      <x:c r="C7" s="48" t="str"/>
      <x:c r="D7" s="48" t="str"/>
      <x:c r="E7" s="48" t="str"/>
      <x:c r="F7" s="48" t="str"/>
      <x:c r="G7" s="48" t="str"/>
      <x:c r="H7" s="48" t="str"/>
    </x:row>
    <x:row r="8" ht="48" customHeight="1">
      <x:c r="A8" s="48" t="str">
        <x:v>Hidden 3</x:v>
      </x:c>
      <x:c r="B8" s="48" t="str"/>
      <x:c r="C8" s="48" t="str"/>
      <x:c r="D8" s="48" t="str"/>
      <x:c r="E8" s="48" t="str"/>
      <x:c r="F8" s="48" t="str"/>
      <x:c r="G8" s="48" t="str"/>
      <x:c r="H8" s="48" t="str"/>
    </x:row>
    <x:row r="10" ht="23" customHeight="1">
      <x:c r="A10" s="10" t="str">
        <x:v>Bounded Code Change</x:v>
      </x:c>
      <x:c r="B10" s="10" t="str">
        <x:v>Bounded Code Change</x:v>
      </x:c>
      <x:c r="C10" s="10" t="str">
        <x:v>Bounded Code Change</x:v>
      </x:c>
      <x:c r="D10" s="10" t="str">
        <x:v>Bounded Code Change</x:v>
      </x:c>
      <x:c r="E10" s="10" t="str">
        <x:v>Bounded Code Change</x:v>
      </x:c>
      <x:c r="F10" s="10" t="str">
        <x:v>Bounded Code Change</x:v>
      </x:c>
      <x:c r="G10" s="10" t="str">
        <x:v>Bounded Code Change</x:v>
      </x:c>
      <x:c r="H10" s="10" t="str">
        <x:v>Bounded Code Change</x:v>
      </x:c>
    </x:row>
    <x:row r="11" ht="43" customHeight="1">
      <x:c r="A11" s="14" t="str">
        <x:v>Change request</x:v>
      </x:c>
      <x:c r="B11" s="48" t="str">
        <x:v>Add a new controlled attribute or provenance validation rule, update the schema and tests, then process one hidden specification.</x:v>
      </x:c>
    </x:row>
    <x:row r="12" ht="43" customHeight="1">
      <x:c r="A12" s="14" t="str">
        <x:v>Candidate prediction</x:v>
      </x:c>
      <x:c r="B12" s="48" t="str"/>
    </x:row>
    <x:row r="13" ht="43" customHeight="1">
      <x:c r="A13" s="14" t="str">
        <x:v>Files/functions changed</x:v>
      </x:c>
      <x:c r="B13" s="48" t="str"/>
    </x:row>
    <x:row r="14" ht="43" customHeight="1">
      <x:c r="A14" s="14" t="str">
        <x:v>Test added/updated</x:v>
      </x:c>
      <x:c r="B14" s="48" t="str"/>
    </x:row>
    <x:row r="15" ht="43" customHeight="1">
      <x:c r="A15" s="14" t="str">
        <x:v>Smallest affected test result</x:v>
      </x:c>
      <x:c r="B15" s="48" t="str"/>
    </x:row>
    <x:row r="16" ht="43" customHeight="1">
      <x:c r="A16" s="14" t="str">
        <x:v>Relevant end-to-end retest</x:v>
      </x:c>
      <x:c r="B16" s="48" t="str"/>
    </x:row>
    <x:row r="17" ht="43" customHeight="1">
      <x:c r="A17" s="14" t="str">
        <x:v>Diagnosis/ownership evidence</x:v>
      </x:c>
      <x:c r="B17" s="48" t="str"/>
    </x:row>
    <x:row r="18" ht="43" customHeight="1">
      <x:c r="A18" s="14" t="str">
        <x:v>Final result</x:v>
      </x:c>
      <x:c r="B18" s="48" t="str"/>
    </x:row>
    <x:row r="20" ht="23" customHeight="1">
      <x:c r="A20" s="10" t="str">
        <x:v>Ownership Questions and Session Notes</x:v>
      </x:c>
      <x:c r="B20" s="10" t="str">
        <x:v>Ownership Questions and Session Notes</x:v>
      </x:c>
      <x:c r="C20" s="10" t="str">
        <x:v>Ownership Questions and Session Notes</x:v>
      </x:c>
      <x:c r="D20" s="10" t="str">
        <x:v>Ownership Questions and Session Notes</x:v>
      </x:c>
      <x:c r="E20" s="10" t="str">
        <x:v>Ownership Questions and Session Notes</x:v>
      </x:c>
      <x:c r="F20" s="10" t="str">
        <x:v>Ownership Questions and Session Notes</x:v>
      </x:c>
      <x:c r="G20" s="10" t="str">
        <x:v>Ownership Questions and Session Notes</x:v>
      </x:c>
      <x:c r="H20" s="10" t="str">
        <x:v>Ownership Questions and Session Notes</x:v>
      </x:c>
    </x:row>
    <x:row r="21">
      <x:c r="A21" s="48"/>
      <x:c r="B21" s="48"/>
      <x:c r="C21" s="48"/>
      <x:c r="D21" s="48"/>
      <x:c r="E21" s="48"/>
      <x:c r="F21" s="48"/>
      <x:c r="G21" s="48"/>
      <x:c r="H21" s="48"/>
    </x:row>
    <x:row r="22">
      <x:c r="A22" s="48"/>
      <x:c r="B22" s="48"/>
      <x:c r="C22" s="48"/>
      <x:c r="D22" s="48"/>
      <x:c r="E22" s="48"/>
      <x:c r="F22" s="48"/>
      <x:c r="G22" s="48"/>
      <x:c r="H22" s="48"/>
    </x:row>
    <x:row r="23">
      <x:c r="A23" s="48"/>
      <x:c r="B23" s="48"/>
      <x:c r="C23" s="48"/>
      <x:c r="D23" s="48"/>
      <x:c r="E23" s="48"/>
      <x:c r="F23" s="48"/>
      <x:c r="G23" s="48"/>
      <x:c r="H23" s="48"/>
    </x:row>
    <x:row r="24">
      <x:c r="A24" s="48"/>
      <x:c r="B24" s="48"/>
      <x:c r="C24" s="48"/>
      <x:c r="D24" s="48"/>
      <x:c r="E24" s="48"/>
      <x:c r="F24" s="48"/>
      <x:c r="G24" s="48"/>
      <x:c r="H24" s="48"/>
    </x:row>
    <x:row r="25">
      <x:c r="A25" s="48"/>
      <x:c r="B25" s="48"/>
      <x:c r="C25" s="48"/>
      <x:c r="D25" s="48"/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</x:sheetData>
  <x:mergeCells>
    <x:mergeCell ref="A1:H1"/>
    <x:mergeCell ref="A2:H2"/>
    <x:mergeCell ref="A4:H4"/>
    <x:mergeCell ref="A10:H10"/>
    <x:mergeCell ref="A20:H20"/>
    <x:mergeCell ref="A21:H28"/>
  </x:mergeCells>
  <x:dataValidations count="2">
    <x:dataValidation type="list" sqref="E6:E8">
      <x:formula1>"Pass,Partial,Fail"</x:formula1>
    </x:dataValidation>
    <x:dataValidation type="list" sqref="B18">
      <x:formula1>"Completed and retested,Partial,Not completed"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4" hidden="0" customWidth="1"/>
    <x:col min="5" max="5" width="14" hidden="0" customWidth="1"/>
    <x:col min="6" max="6" width="13" hidden="0" customWidth="1"/>
    <x:col min="7" max="7" width="14" hidden="0" customWidth="1"/>
    <x:col min="8" max="8" width="15" hidden="0" customWidth="1"/>
    <x:col min="9" max="9" width="18" hidden="0" customWidth="1"/>
    <x:col min="10" max="10" width="12" hidden="0" customWidth="1"/>
    <x:col min="11" max="11" width="15" hidden="0" customWidth="1"/>
    <x:col min="12" max="12" width="12" hidden="0" customWidth="1"/>
    <x:col min="13" max="13" width="21" hidden="0" customWidth="1"/>
    <x:col min="14" max="14" width="32" hidden="0" customWidth="1"/>
  </x:cols>
  <x:sheetData>
    <x:row r="1" ht="34" customHeight="1">
      <x:c r="A1" s="3" t="str">
        <x:v>Track 02 | Batch Moderation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Rank within track, double-score likely selections/borderline cases, then cross-track moderate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37" t="str">
        <x:v>Candidate ID</x:v>
      </x:c>
      <x:c r="B4" s="37" t="str">
        <x:v>Functional /25</x:v>
      </x:c>
      <x:c r="C4" s="37" t="str">
        <x:v>Engineering /25</x:v>
      </x:c>
      <x:c r="D4" s="37" t="str">
        <x:v>Testing /20</x:v>
      </x:c>
      <x:c r="E4" s="37" t="str">
        <x:v>Efficiency /10</x:v>
      </x:c>
      <x:c r="F4" s="37" t="str">
        <x:v>Live /20</x:v>
      </x:c>
      <x:c r="G4" s="37" t="str">
        <x:v>Total /100</x:v>
      </x:c>
      <x:c r="H4" s="37" t="str">
        <x:v>Eligibility</x:v>
      </x:c>
      <x:c r="I4" s="37" t="str">
        <x:v>Verified level</x:v>
      </x:c>
      <x:c r="J4" s="37" t="str">
        <x:v>Track rank</x:v>
      </x:c>
      <x:c r="K4" s="37" t="str">
        <x:v>2nd score total</x:v>
      </x:c>
      <x:c r="L4" s="37" t="str">
        <x:v>Difference</x:v>
      </x:c>
      <x:c r="M4" s="37" t="str">
        <x:v>Moderation status</x:v>
      </x:c>
      <x:c r="N4" s="37" t="str">
        <x:v>Decision / notes</x:v>
      </x:c>
    </x:row>
    <x:row r="5" ht="30" customHeight="1">
      <x:c r="A5" s="48" t="str"/>
      <x:c r="B5" s="48" t="str"/>
      <x:c r="C5" s="48" t="str"/>
      <x:c r="D5" s="48" t="str"/>
      <x:c r="E5" s="48" t="str"/>
      <x:c r="F5" s="48" t="str"/>
      <x:c r="G5" s="59" t="str">
        <x:f>IF(B5="","",SUM(B5:F5))</x:f>
      </x:c>
      <x:c r="H5" s="48" t="str"/>
      <x:c r="I5" s="48" t="str"/>
      <x:c r="J5" s="59" t="str">
        <x:f>IF(G5="","",RANK.EQ(G5,$G$5:$G$29,0))</x:f>
      </x:c>
      <x:c r="K5" s="48" t="str"/>
      <x:c r="L5" s="59" t="str">
        <x:f>IF(OR(G5="",K5=""),"",ABS(G5-K5))</x:f>
      </x:c>
      <x:c r="M5" s="48" t="str"/>
      <x:c r="N5" s="48" t="str"/>
    </x:row>
    <x:row r="6" ht="30" customHeight="1">
      <x:c r="A6" s="48" t="str"/>
      <x:c r="B6" s="48" t="str"/>
      <x:c r="C6" s="48" t="str"/>
      <x:c r="D6" s="48" t="str"/>
      <x:c r="E6" s="48" t="str"/>
      <x:c r="F6" s="48" t="str"/>
      <x:c r="G6" s="59" t="str">
        <x:f>IF(B6="","",SUM(B6:F6))</x:f>
      </x:c>
      <x:c r="H6" s="48" t="str"/>
      <x:c r="I6" s="48" t="str"/>
      <x:c r="J6" s="59" t="str">
        <x:f>IF(G6="","",RANK.EQ(G6,$G$5:$G$29,0))</x:f>
      </x:c>
      <x:c r="K6" s="48" t="str"/>
      <x:c r="L6" s="59" t="str">
        <x:f>IF(OR(G6="",K6=""),"",ABS(G6-K6))</x:f>
      </x:c>
      <x:c r="M6" s="48" t="str"/>
      <x:c r="N6" s="48" t="str"/>
    </x:row>
    <x:row r="7" ht="30" customHeight="1">
      <x:c r="A7" s="48" t="str"/>
      <x:c r="B7" s="48" t="str"/>
      <x:c r="C7" s="48" t="str"/>
      <x:c r="D7" s="48" t="str"/>
      <x:c r="E7" s="48" t="str"/>
      <x:c r="F7" s="48" t="str"/>
      <x:c r="G7" s="59" t="str">
        <x:f>IF(B7="","",SUM(B7:F7))</x:f>
      </x:c>
      <x:c r="H7" s="48" t="str"/>
      <x:c r="I7" s="48" t="str"/>
      <x:c r="J7" s="59" t="str">
        <x:f>IF(G7="","",RANK.EQ(G7,$G$5:$G$29,0))</x:f>
      </x:c>
      <x:c r="K7" s="48" t="str"/>
      <x:c r="L7" s="59" t="str">
        <x:f>IF(OR(G7="",K7=""),"",ABS(G7-K7))</x:f>
      </x:c>
      <x:c r="M7" s="48" t="str"/>
      <x:c r="N7" s="48" t="str"/>
    </x:row>
    <x:row r="8" ht="30" customHeight="1">
      <x:c r="A8" s="48" t="str"/>
      <x:c r="B8" s="48" t="str"/>
      <x:c r="C8" s="48" t="str"/>
      <x:c r="D8" s="48" t="str"/>
      <x:c r="E8" s="48" t="str"/>
      <x:c r="F8" s="48" t="str"/>
      <x:c r="G8" s="59" t="str">
        <x:f>IF(B8="","",SUM(B8:F8))</x:f>
      </x:c>
      <x:c r="H8" s="48" t="str"/>
      <x:c r="I8" s="48" t="str"/>
      <x:c r="J8" s="59" t="str">
        <x:f>IF(G8="","",RANK.EQ(G8,$G$5:$G$29,0))</x:f>
      </x:c>
      <x:c r="K8" s="48" t="str"/>
      <x:c r="L8" s="59" t="str">
        <x:f>IF(OR(G8="",K8=""),"",ABS(G8-K8))</x:f>
      </x:c>
      <x:c r="M8" s="48" t="str"/>
      <x:c r="N8" s="48" t="str"/>
    </x:row>
    <x:row r="9" ht="30" customHeight="1">
      <x:c r="A9" s="48" t="str"/>
      <x:c r="B9" s="48" t="str"/>
      <x:c r="C9" s="48" t="str"/>
      <x:c r="D9" s="48" t="str"/>
      <x:c r="E9" s="48" t="str"/>
      <x:c r="F9" s="48" t="str"/>
      <x:c r="G9" s="59" t="str">
        <x:f>IF(B9="","",SUM(B9:F9))</x:f>
      </x:c>
      <x:c r="H9" s="48" t="str"/>
      <x:c r="I9" s="48" t="str"/>
      <x:c r="J9" s="59" t="str">
        <x:f>IF(G9="","",RANK.EQ(G9,$G$5:$G$29,0))</x:f>
      </x:c>
      <x:c r="K9" s="48" t="str"/>
      <x:c r="L9" s="59" t="str">
        <x:f>IF(OR(G9="",K9=""),"",ABS(G9-K9))</x:f>
      </x:c>
      <x:c r="M9" s="48" t="str"/>
      <x:c r="N9" s="48" t="str"/>
    </x:row>
    <x:row r="10" ht="30" customHeight="1">
      <x:c r="A10" s="48" t="str"/>
      <x:c r="B10" s="48" t="str"/>
      <x:c r="C10" s="48" t="str"/>
      <x:c r="D10" s="48" t="str"/>
      <x:c r="E10" s="48" t="str"/>
      <x:c r="F10" s="48" t="str"/>
      <x:c r="G10" s="59" t="str">
        <x:f>IF(B10="","",SUM(B10:F10))</x:f>
      </x:c>
      <x:c r="H10" s="48" t="str"/>
      <x:c r="I10" s="48" t="str"/>
      <x:c r="J10" s="59" t="str">
        <x:f>IF(G10="","",RANK.EQ(G10,$G$5:$G$29,0))</x:f>
      </x:c>
      <x:c r="K10" s="48" t="str"/>
      <x:c r="L10" s="59" t="str">
        <x:f>IF(OR(G10="",K10=""),"",ABS(G10-K10))</x:f>
      </x:c>
      <x:c r="M10" s="48" t="str"/>
      <x:c r="N10" s="48" t="str"/>
    </x:row>
    <x:row r="11" ht="30" customHeight="1">
      <x:c r="A11" s="48" t="str"/>
      <x:c r="B11" s="48" t="str"/>
      <x:c r="C11" s="48" t="str"/>
      <x:c r="D11" s="48" t="str"/>
      <x:c r="E11" s="48" t="str"/>
      <x:c r="F11" s="48" t="str"/>
      <x:c r="G11" s="59" t="str">
        <x:f>IF(B11="","",SUM(B11:F11))</x:f>
      </x:c>
      <x:c r="H11" s="48" t="str"/>
      <x:c r="I11" s="48" t="str"/>
      <x:c r="J11" s="59" t="str">
        <x:f>IF(G11="","",RANK.EQ(G11,$G$5:$G$29,0))</x:f>
      </x:c>
      <x:c r="K11" s="48" t="str"/>
      <x:c r="L11" s="59" t="str">
        <x:f>IF(OR(G11="",K11=""),"",ABS(G11-K11))</x:f>
      </x:c>
      <x:c r="M11" s="48" t="str"/>
      <x:c r="N11" s="48" t="str"/>
    </x:row>
    <x:row r="12" ht="30" customHeight="1">
      <x:c r="A12" s="48" t="str"/>
      <x:c r="B12" s="48" t="str"/>
      <x:c r="C12" s="48" t="str"/>
      <x:c r="D12" s="48" t="str"/>
      <x:c r="E12" s="48" t="str"/>
      <x:c r="F12" s="48" t="str"/>
      <x:c r="G12" s="59" t="str">
        <x:f>IF(B12="","",SUM(B12:F12))</x:f>
      </x:c>
      <x:c r="H12" s="48" t="str"/>
      <x:c r="I12" s="48" t="str"/>
      <x:c r="J12" s="59" t="str">
        <x:f>IF(G12="","",RANK.EQ(G12,$G$5:$G$29,0))</x:f>
      </x:c>
      <x:c r="K12" s="48" t="str"/>
      <x:c r="L12" s="59" t="str">
        <x:f>IF(OR(G12="",K12=""),"",ABS(G12-K12))</x:f>
      </x:c>
      <x:c r="M12" s="48" t="str"/>
      <x:c r="N12" s="48" t="str"/>
    </x:row>
    <x:row r="13" ht="30" customHeight="1">
      <x:c r="A13" s="48" t="str"/>
      <x:c r="B13" s="48" t="str"/>
      <x:c r="C13" s="48" t="str"/>
      <x:c r="D13" s="48" t="str"/>
      <x:c r="E13" s="48" t="str"/>
      <x:c r="F13" s="48" t="str"/>
      <x:c r="G13" s="59" t="str">
        <x:f>IF(B13="","",SUM(B13:F13))</x:f>
      </x:c>
      <x:c r="H13" s="48" t="str"/>
      <x:c r="I13" s="48" t="str"/>
      <x:c r="J13" s="59" t="str">
        <x:f>IF(G13="","",RANK.EQ(G13,$G$5:$G$29,0))</x:f>
      </x:c>
      <x:c r="K13" s="48" t="str"/>
      <x:c r="L13" s="59" t="str">
        <x:f>IF(OR(G13="",K13=""),"",ABS(G13-K13))</x:f>
      </x:c>
      <x:c r="M13" s="48" t="str"/>
      <x:c r="N13" s="48" t="str"/>
    </x:row>
    <x:row r="14" ht="30" customHeight="1">
      <x:c r="A14" s="48" t="str"/>
      <x:c r="B14" s="48" t="str"/>
      <x:c r="C14" s="48" t="str"/>
      <x:c r="D14" s="48" t="str"/>
      <x:c r="E14" s="48" t="str"/>
      <x:c r="F14" s="48" t="str"/>
      <x:c r="G14" s="59" t="str">
        <x:f>IF(B14="","",SUM(B14:F14))</x:f>
      </x:c>
      <x:c r="H14" s="48" t="str"/>
      <x:c r="I14" s="48" t="str"/>
      <x:c r="J14" s="59" t="str">
        <x:f>IF(G14="","",RANK.EQ(G14,$G$5:$G$29,0))</x:f>
      </x:c>
      <x:c r="K14" s="48" t="str"/>
      <x:c r="L14" s="59" t="str">
        <x:f>IF(OR(G14="",K14=""),"",ABS(G14-K14))</x:f>
      </x:c>
      <x:c r="M14" s="48" t="str"/>
      <x:c r="N14" s="48" t="str"/>
    </x:row>
    <x:row r="15" ht="30" customHeight="1">
      <x:c r="A15" s="48" t="str"/>
      <x:c r="B15" s="48" t="str"/>
      <x:c r="C15" s="48" t="str"/>
      <x:c r="D15" s="48" t="str"/>
      <x:c r="E15" s="48" t="str"/>
      <x:c r="F15" s="48" t="str"/>
      <x:c r="G15" s="59" t="str">
        <x:f>IF(B15="","",SUM(B15:F15))</x:f>
      </x:c>
      <x:c r="H15" s="48" t="str"/>
      <x:c r="I15" s="48" t="str"/>
      <x:c r="J15" s="59" t="str">
        <x:f>IF(G15="","",RANK.EQ(G15,$G$5:$G$29,0))</x:f>
      </x:c>
      <x:c r="K15" s="48" t="str"/>
      <x:c r="L15" s="59" t="str">
        <x:f>IF(OR(G15="",K15=""),"",ABS(G15-K15))</x:f>
      </x:c>
      <x:c r="M15" s="48" t="str"/>
      <x:c r="N15" s="48" t="str"/>
    </x:row>
    <x:row r="16" ht="30" customHeight="1">
      <x:c r="A16" s="48" t="str"/>
      <x:c r="B16" s="48" t="str"/>
      <x:c r="C16" s="48" t="str"/>
      <x:c r="D16" s="48" t="str"/>
      <x:c r="E16" s="48" t="str"/>
      <x:c r="F16" s="48" t="str"/>
      <x:c r="G16" s="59" t="str">
        <x:f>IF(B16="","",SUM(B16:F16))</x:f>
      </x:c>
      <x:c r="H16" s="48" t="str"/>
      <x:c r="I16" s="48" t="str"/>
      <x:c r="J16" s="59" t="str">
        <x:f>IF(G16="","",RANK.EQ(G16,$G$5:$G$29,0))</x:f>
      </x:c>
      <x:c r="K16" s="48" t="str"/>
      <x:c r="L16" s="59" t="str">
        <x:f>IF(OR(G16="",K16=""),"",ABS(G16-K16))</x:f>
      </x:c>
      <x:c r="M16" s="48" t="str"/>
      <x:c r="N16" s="48" t="str"/>
    </x:row>
    <x:row r="17" ht="30" customHeight="1">
      <x:c r="A17" s="48" t="str"/>
      <x:c r="B17" s="48" t="str"/>
      <x:c r="C17" s="48" t="str"/>
      <x:c r="D17" s="48" t="str"/>
      <x:c r="E17" s="48" t="str"/>
      <x:c r="F17" s="48" t="str"/>
      <x:c r="G17" s="59" t="str">
        <x:f>IF(B17="","",SUM(B17:F17))</x:f>
      </x:c>
      <x:c r="H17" s="48" t="str"/>
      <x:c r="I17" s="48" t="str"/>
      <x:c r="J17" s="59" t="str">
        <x:f>IF(G17="","",RANK.EQ(G17,$G$5:$G$29,0))</x:f>
      </x:c>
      <x:c r="K17" s="48" t="str"/>
      <x:c r="L17" s="59" t="str">
        <x:f>IF(OR(G17="",K17=""),"",ABS(G17-K17))</x:f>
      </x:c>
      <x:c r="M17" s="48" t="str"/>
      <x:c r="N17" s="48" t="str"/>
    </x:row>
    <x:row r="18" ht="30" customHeight="1">
      <x:c r="A18" s="48" t="str"/>
      <x:c r="B18" s="48" t="str"/>
      <x:c r="C18" s="48" t="str"/>
      <x:c r="D18" s="48" t="str"/>
      <x:c r="E18" s="48" t="str"/>
      <x:c r="F18" s="48" t="str"/>
      <x:c r="G18" s="59" t="str">
        <x:f>IF(B18="","",SUM(B18:F18))</x:f>
      </x:c>
      <x:c r="H18" s="48" t="str"/>
      <x:c r="I18" s="48" t="str"/>
      <x:c r="J18" s="59" t="str">
        <x:f>IF(G18="","",RANK.EQ(G18,$G$5:$G$29,0))</x:f>
      </x:c>
      <x:c r="K18" s="48" t="str"/>
      <x:c r="L18" s="59" t="str">
        <x:f>IF(OR(G18="",K18=""),"",ABS(G18-K18))</x:f>
      </x:c>
      <x:c r="M18" s="48" t="str"/>
      <x:c r="N18" s="48" t="str"/>
    </x:row>
    <x:row r="19" ht="30" customHeight="1">
      <x:c r="A19" s="48" t="str"/>
      <x:c r="B19" s="48" t="str"/>
      <x:c r="C19" s="48" t="str"/>
      <x:c r="D19" s="48" t="str"/>
      <x:c r="E19" s="48" t="str"/>
      <x:c r="F19" s="48" t="str"/>
      <x:c r="G19" s="59" t="str">
        <x:f>IF(B19="","",SUM(B19:F19))</x:f>
      </x:c>
      <x:c r="H19" s="48" t="str"/>
      <x:c r="I19" s="48" t="str"/>
      <x:c r="J19" s="59" t="str">
        <x:f>IF(G19="","",RANK.EQ(G19,$G$5:$G$29,0))</x:f>
      </x:c>
      <x:c r="K19" s="48" t="str"/>
      <x:c r="L19" s="59" t="str">
        <x:f>IF(OR(G19="",K19=""),"",ABS(G19-K19))</x:f>
      </x:c>
      <x:c r="M19" s="48" t="str"/>
      <x:c r="N19" s="48" t="str"/>
    </x:row>
    <x:row r="20" ht="30" customHeight="1">
      <x:c r="A20" s="48" t="str"/>
      <x:c r="B20" s="48" t="str"/>
      <x:c r="C20" s="48" t="str"/>
      <x:c r="D20" s="48" t="str"/>
      <x:c r="E20" s="48" t="str"/>
      <x:c r="F20" s="48" t="str"/>
      <x:c r="G20" s="59" t="str">
        <x:f>IF(B20="","",SUM(B20:F20))</x:f>
      </x:c>
      <x:c r="H20" s="48" t="str"/>
      <x:c r="I20" s="48" t="str"/>
      <x:c r="J20" s="59" t="str">
        <x:f>IF(G20="","",RANK.EQ(G20,$G$5:$G$29,0))</x:f>
      </x:c>
      <x:c r="K20" s="48" t="str"/>
      <x:c r="L20" s="59" t="str">
        <x:f>IF(OR(G20="",K20=""),"",ABS(G20-K20))</x:f>
      </x:c>
      <x:c r="M20" s="48" t="str"/>
      <x:c r="N20" s="48" t="str"/>
    </x:row>
    <x:row r="21" ht="30" customHeight="1">
      <x:c r="A21" s="48" t="str"/>
      <x:c r="B21" s="48" t="str"/>
      <x:c r="C21" s="48" t="str"/>
      <x:c r="D21" s="48" t="str"/>
      <x:c r="E21" s="48" t="str"/>
      <x:c r="F21" s="48" t="str"/>
      <x:c r="G21" s="59" t="str">
        <x:f>IF(B21="","",SUM(B21:F21))</x:f>
      </x:c>
      <x:c r="H21" s="48" t="str"/>
      <x:c r="I21" s="48" t="str"/>
      <x:c r="J21" s="59" t="str">
        <x:f>IF(G21="","",RANK.EQ(G21,$G$5:$G$29,0))</x:f>
      </x:c>
      <x:c r="K21" s="48" t="str"/>
      <x:c r="L21" s="59" t="str">
        <x:f>IF(OR(G21="",K21=""),"",ABS(G21-K21))</x:f>
      </x:c>
      <x:c r="M21" s="48" t="str"/>
      <x:c r="N21" s="48" t="str"/>
    </x:row>
    <x:row r="22" ht="30" customHeight="1">
      <x:c r="A22" s="48" t="str"/>
      <x:c r="B22" s="48" t="str"/>
      <x:c r="C22" s="48" t="str"/>
      <x:c r="D22" s="48" t="str"/>
      <x:c r="E22" s="48" t="str"/>
      <x:c r="F22" s="48" t="str"/>
      <x:c r="G22" s="59" t="str">
        <x:f>IF(B22="","",SUM(B22:F22))</x:f>
      </x:c>
      <x:c r="H22" s="48" t="str"/>
      <x:c r="I22" s="48" t="str"/>
      <x:c r="J22" s="59" t="str">
        <x:f>IF(G22="","",RANK.EQ(G22,$G$5:$G$29,0))</x:f>
      </x:c>
      <x:c r="K22" s="48" t="str"/>
      <x:c r="L22" s="59" t="str">
        <x:f>IF(OR(G22="",K22=""),"",ABS(G22-K22))</x:f>
      </x:c>
      <x:c r="M22" s="48" t="str"/>
      <x:c r="N22" s="48" t="str"/>
    </x:row>
    <x:row r="23" ht="30" customHeight="1">
      <x:c r="A23" s="48" t="str"/>
      <x:c r="B23" s="48" t="str"/>
      <x:c r="C23" s="48" t="str"/>
      <x:c r="D23" s="48" t="str"/>
      <x:c r="E23" s="48" t="str"/>
      <x:c r="F23" s="48" t="str"/>
      <x:c r="G23" s="59" t="str">
        <x:f>IF(B23="","",SUM(B23:F23))</x:f>
      </x:c>
      <x:c r="H23" s="48" t="str"/>
      <x:c r="I23" s="48" t="str"/>
      <x:c r="J23" s="59" t="str">
        <x:f>IF(G23="","",RANK.EQ(G23,$G$5:$G$29,0))</x:f>
      </x:c>
      <x:c r="K23" s="48" t="str"/>
      <x:c r="L23" s="59" t="str">
        <x:f>IF(OR(G23="",K23=""),"",ABS(G23-K23))</x:f>
      </x:c>
      <x:c r="M23" s="48" t="str"/>
      <x:c r="N23" s="48" t="str"/>
    </x:row>
    <x:row r="24" ht="30" customHeight="1">
      <x:c r="A24" s="48" t="str"/>
      <x:c r="B24" s="48" t="str"/>
      <x:c r="C24" s="48" t="str"/>
      <x:c r="D24" s="48" t="str"/>
      <x:c r="E24" s="48" t="str"/>
      <x:c r="F24" s="48" t="str"/>
      <x:c r="G24" s="59" t="str">
        <x:f>IF(B24="","",SUM(B24:F24))</x:f>
      </x:c>
      <x:c r="H24" s="48" t="str"/>
      <x:c r="I24" s="48" t="str"/>
      <x:c r="J24" s="59" t="str">
        <x:f>IF(G24="","",RANK.EQ(G24,$G$5:$G$29,0))</x:f>
      </x:c>
      <x:c r="K24" s="48" t="str"/>
      <x:c r="L24" s="59" t="str">
        <x:f>IF(OR(G24="",K24=""),"",ABS(G24-K24))</x:f>
      </x:c>
      <x:c r="M24" s="48" t="str"/>
      <x:c r="N24" s="48" t="str"/>
    </x:row>
    <x:row r="25" ht="30" customHeight="1">
      <x:c r="A25" s="48" t="str"/>
      <x:c r="B25" s="48" t="str"/>
      <x:c r="C25" s="48" t="str"/>
      <x:c r="D25" s="48" t="str"/>
      <x:c r="E25" s="48" t="str"/>
      <x:c r="F25" s="48" t="str"/>
      <x:c r="G25" s="59" t="str">
        <x:f>IF(B25="","",SUM(B25:F25))</x:f>
      </x:c>
      <x:c r="H25" s="48" t="str"/>
      <x:c r="I25" s="48" t="str"/>
      <x:c r="J25" s="59" t="str">
        <x:f>IF(G25="","",RANK.EQ(G25,$G$5:$G$29,0))</x:f>
      </x:c>
      <x:c r="K25" s="48" t="str"/>
      <x:c r="L25" s="59" t="str">
        <x:f>IF(OR(G25="",K25=""),"",ABS(G25-K25))</x:f>
      </x:c>
      <x:c r="M25" s="48" t="str"/>
      <x:c r="N25" s="48" t="str"/>
    </x:row>
    <x:row r="26" ht="30" customHeight="1">
      <x:c r="A26" s="48" t="str"/>
      <x:c r="B26" s="48" t="str"/>
      <x:c r="C26" s="48" t="str"/>
      <x:c r="D26" s="48" t="str"/>
      <x:c r="E26" s="48" t="str"/>
      <x:c r="F26" s="48" t="str"/>
      <x:c r="G26" s="59" t="str">
        <x:f>IF(B26="","",SUM(B26:F26))</x:f>
      </x:c>
      <x:c r="H26" s="48" t="str"/>
      <x:c r="I26" s="48" t="str"/>
      <x:c r="J26" s="59" t="str">
        <x:f>IF(G26="","",RANK.EQ(G26,$G$5:$G$29,0))</x:f>
      </x:c>
      <x:c r="K26" s="48" t="str"/>
      <x:c r="L26" s="59" t="str">
        <x:f>IF(OR(G26="",K26=""),"",ABS(G26-K26))</x:f>
      </x:c>
      <x:c r="M26" s="48" t="str"/>
      <x:c r="N26" s="48" t="str"/>
    </x:row>
    <x:row r="27" ht="30" customHeight="1">
      <x:c r="A27" s="48" t="str"/>
      <x:c r="B27" s="48" t="str"/>
      <x:c r="C27" s="48" t="str"/>
      <x:c r="D27" s="48" t="str"/>
      <x:c r="E27" s="48" t="str"/>
      <x:c r="F27" s="48" t="str"/>
      <x:c r="G27" s="59" t="str">
        <x:f>IF(B27="","",SUM(B27:F27))</x:f>
      </x:c>
      <x:c r="H27" s="48" t="str"/>
      <x:c r="I27" s="48" t="str"/>
      <x:c r="J27" s="59" t="str">
        <x:f>IF(G27="","",RANK.EQ(G27,$G$5:$G$29,0))</x:f>
      </x:c>
      <x:c r="K27" s="48" t="str"/>
      <x:c r="L27" s="59" t="str">
        <x:f>IF(OR(G27="",K27=""),"",ABS(G27-K27))</x:f>
      </x:c>
      <x:c r="M27" s="48" t="str"/>
      <x:c r="N27" s="48" t="str"/>
    </x:row>
    <x:row r="28" ht="30" customHeight="1">
      <x:c r="A28" s="48" t="str"/>
      <x:c r="B28" s="48" t="str"/>
      <x:c r="C28" s="48" t="str"/>
      <x:c r="D28" s="48" t="str"/>
      <x:c r="E28" s="48" t="str"/>
      <x:c r="F28" s="48" t="str"/>
      <x:c r="G28" s="59" t="str">
        <x:f>IF(B28="","",SUM(B28:F28))</x:f>
      </x:c>
      <x:c r="H28" s="48" t="str"/>
      <x:c r="I28" s="48" t="str"/>
      <x:c r="J28" s="59" t="str">
        <x:f>IF(G28="","",RANK.EQ(G28,$G$5:$G$29,0))</x:f>
      </x:c>
      <x:c r="K28" s="48" t="str"/>
      <x:c r="L28" s="59" t="str">
        <x:f>IF(OR(G28="",K28=""),"",ABS(G28-K28))</x:f>
      </x:c>
      <x:c r="M28" s="48" t="str"/>
      <x:c r="N28" s="48" t="str"/>
    </x:row>
    <x:row r="29" ht="30" customHeight="1">
      <x:c r="A29" s="48" t="str"/>
      <x:c r="B29" s="48" t="str"/>
      <x:c r="C29" s="48" t="str"/>
      <x:c r="D29" s="48" t="str"/>
      <x:c r="E29" s="48" t="str"/>
      <x:c r="F29" s="48" t="str"/>
      <x:c r="G29" s="59" t="str">
        <x:f>IF(B29="","",SUM(B29:F29))</x:f>
      </x:c>
      <x:c r="H29" s="48" t="str"/>
      <x:c r="I29" s="48" t="str"/>
      <x:c r="J29" s="59" t="str">
        <x:f>IF(G29="","",RANK.EQ(G29,$G$5:$G$29,0))</x:f>
      </x:c>
      <x:c r="K29" s="48" t="str"/>
      <x:c r="L29" s="59" t="str">
        <x:f>IF(OR(G29="",K29=""),"",ABS(G29-K29))</x:f>
      </x:c>
      <x:c r="M29" s="48" t="str"/>
      <x:c r="N29" s="48" t="str"/>
    </x:row>
    <x:row r="31" ht="23" customHeight="1">
      <x:c r="A31" s="10" t="str">
        <x:v>Moderation Controls</x:v>
      </x:c>
      <x:c r="B31" s="10" t="str">
        <x:v>Moderation Controls</x:v>
      </x:c>
      <x:c r="C31" s="10" t="str">
        <x:v>Moderation Controls</x:v>
      </x:c>
      <x:c r="D31" s="10" t="str">
        <x:v>Moderation Controls</x:v>
      </x:c>
      <x:c r="E31" s="10" t="str">
        <x:v>Moderation Controls</x:v>
      </x:c>
      <x:c r="F31" s="10" t="str">
        <x:v>Moderation Controls</x:v>
      </x:c>
      <x:c r="G31" s="10" t="str">
        <x:v>Moderation Controls</x:v>
      </x:c>
      <x:c r="H31" s="10" t="str">
        <x:v>Moderation Controls</x:v>
      </x:c>
      <x:c r="I31" s="10" t="str">
        <x:v>Moderation Controls</x:v>
      </x:c>
      <x:c r="J31" s="10" t="str">
        <x:v>Moderation Controls</x:v>
      </x:c>
      <x:c r="K31" s="10" t="str">
        <x:v>Moderation Controls</x:v>
      </x:c>
      <x:c r="L31" s="10" t="str">
        <x:v>Moderation Controls</x:v>
      </x:c>
      <x:c r="M31" s="10" t="str">
        <x:v>Moderation Controls</x:v>
      </x:c>
      <x:c r="N31" s="10" t="str">
        <x:v>Moderation Controls</x:v>
      </x:c>
    </x:row>
    <x:row r="32">
      <x:c r="A32" s="37" t="str">
        <x:v>Control</x:v>
      </x:c>
      <x:c r="B32" s="37" t="str">
        <x:v>Required action</x:v>
      </x:c>
      <x:c r="C32" s="37" t="str"/>
      <x:c r="D32" s="37" t="str"/>
      <x:c r="E32" s="37" t="str"/>
      <x:c r="F32" s="37" t="str"/>
      <x:c r="G32" s="37" t="str"/>
      <x:c r="H32" s="37" t="str"/>
      <x:c r="I32" s="37" t="str"/>
      <x:c r="J32" s="37" t="str"/>
      <x:c r="K32" s="37" t="str"/>
      <x:c r="L32" s="37" t="str"/>
      <x:c r="M32" s="37" t="str"/>
      <x:c r="N32" s="37" t="str"/>
    </x:row>
    <x:row r="33" ht="34" customHeight="1">
      <x:c r="A33" s="69" t="str">
        <x:v>Anchor calibration</x:v>
      </x:c>
      <x:c r="B33" s="34" t="str">
        <x:v>Two anchor submissions scored before final marking</x:v>
      </x:c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/>
      <x:c r="N33" s="34" t="str"/>
    </x:row>
    <x:row r="34" ht="34" customHeight="1">
      <x:c r="A34" s="69" t="str">
        <x:v>Double scoring</x:v>
      </x:c>
      <x:c r="B34" s="34" t="str">
        <x:v>All likely selections, within 5 of cutoff, &gt;5 disagreement, and at least 20% of track</x:v>
      </x:c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/>
      <x:c r="N34" s="34" t="str"/>
    </x:row>
    <x:row r="35" ht="34" customHeight="1">
      <x:c r="A35" s="69" t="str">
        <x:v>Cross-track moderation</x:v>
      </x:c>
      <x:c r="B35" s="34" t="str">
        <x:v>Compare difficulty and evaluator severity after ranking within track</x:v>
      </x:c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/>
      <x:c r="N35" s="34" t="str"/>
    </x:row>
    <x:row r="36" ht="34" customHeight="1">
      <x:c r="A36" s="69" t="str">
        <x:v>Tie-break order</x:v>
      </x:c>
      <x:c r="B36" s="34" t="str">
        <x:v>Live ownership, engineering, testing, functional quality, efficiency/licensing/product</x:v>
      </x:c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/>
      <x:c r="N36" s="34" t="str"/>
    </x:row>
  </x:sheetData>
  <x:mergeCells>
    <x:mergeCell ref="A1:N1"/>
    <x:mergeCell ref="A2:N2"/>
    <x:mergeCell ref="A31:N31"/>
    <x:mergeCell ref="B32:N32"/>
    <x:mergeCell ref="B33:N33"/>
    <x:mergeCell ref="B34:N34"/>
    <x:mergeCell ref="B35:N35"/>
    <x:mergeCell ref="B36:N36"/>
  </x:mergeCells>
  <x:dataValidations count="3">
    <x:dataValidation type="list" sqref="H5:H29">
      <x:formula1>"ELIGIBLE,INELIGIBLE,PENDING"</x:formula1>
    </x:dataValidation>
    <x:dataValidation type="list" sqref="I5:I29">
      <x:formula1>"BELOW BASELINE,BASELINE,STRONG,EXCEPTIONAL"</x:formula1>
    </x:dataValidation>
    <x:dataValidation type="list" sqref="M5:M29">
      <x:formula1>"Not required,Required,Completed,Disagreement review"</x:formula1>
    </x:dataValidation>
  </x:dataValidations>
  <x:pageMargins left="0.7" right="0.7" top="0.75" bottom="0.75" header="0.3" footer="0.3"/>
</x:worksheet>
</file>